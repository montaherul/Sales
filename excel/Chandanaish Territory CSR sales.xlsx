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  <sheet state="visible" name="Target" sheetId="32" r:id="rId36"/>
    <sheet state="visible" name="ATDA &amp; ADS" sheetId="33" r:id="rId37"/>
    <sheet state="visible" name="Analysis" sheetId="34" r:id="rId38"/>
  </sheets>
  <definedNames/>
  <calcPr/>
</workbook>
</file>

<file path=xl/sharedStrings.xml><?xml version="1.0" encoding="utf-8"?>
<sst xmlns="http://schemas.openxmlformats.org/spreadsheetml/2006/main" count="866" uniqueCount="92">
  <si>
    <t>Chandanaish Territory - Daily Sales and Target Achievement Sheet</t>
  </si>
  <si>
    <t>Name of Territory:</t>
  </si>
  <si>
    <t>Chandanaish</t>
  </si>
  <si>
    <t>Name of Region:</t>
  </si>
  <si>
    <t>Chattogram</t>
  </si>
  <si>
    <t/>
  </si>
  <si>
    <t>Date:</t>
  </si>
  <si>
    <t>SL NO</t>
  </si>
  <si>
    <t>Name of SR / CSR</t>
  </si>
  <si>
    <t>Name of Route</t>
  </si>
  <si>
    <t>No. of Outlets</t>
  </si>
  <si>
    <t>Brand Wise Target</t>
  </si>
  <si>
    <t>Brand Wise Sales</t>
  </si>
  <si>
    <t>Total Sales</t>
  </si>
  <si>
    <t>Variance</t>
  </si>
  <si>
    <t>Achievement %</t>
  </si>
  <si>
    <t>Remarks</t>
  </si>
  <si>
    <t>Cigarette</t>
  </si>
  <si>
    <t>Bidi</t>
  </si>
  <si>
    <t>Territory Total</t>
  </si>
  <si>
    <t>Friday Off</t>
  </si>
  <si>
    <t>Chandanaish Territory - Master Target Sheet (October - 26 Working Days)</t>
  </si>
  <si>
    <t>Benchmark Metric</t>
  </si>
  <si>
    <t>Baseline Value</t>
  </si>
  <si>
    <t>Benchmark Reference</t>
  </si>
  <si>
    <t>Territory:</t>
  </si>
  <si>
    <t>Region:</t>
  </si>
  <si>
    <t>Month:</t>
  </si>
  <si>
    <t>Working Days:</t>
  </si>
  <si>
    <t>LMS</t>
  </si>
  <si>
    <t>Last Month Sales</t>
  </si>
  <si>
    <t>Monthly Target - Cigarette</t>
  </si>
  <si>
    <t>Monthly Target - Bidi</t>
  </si>
  <si>
    <t>Daily Target - Cigarette</t>
  </si>
  <si>
    <t>Daily Target - Bidi</t>
  </si>
  <si>
    <t>LM ADS</t>
  </si>
  <si>
    <t>Last Month ADS</t>
  </si>
  <si>
    <t>Karim</t>
  </si>
  <si>
    <t>Kesua</t>
  </si>
  <si>
    <t>TM Target</t>
  </si>
  <si>
    <t>This Month Target</t>
  </si>
  <si>
    <t>Moulvi Bazar</t>
  </si>
  <si>
    <t>TM Target ADS</t>
  </si>
  <si>
    <t>This Month Target ADS</t>
  </si>
  <si>
    <t>Jabed</t>
  </si>
  <si>
    <t>Char Barama</t>
  </si>
  <si>
    <t>Pukur Par</t>
  </si>
  <si>
    <t>Anowar</t>
  </si>
  <si>
    <t>Dhamair Hat</t>
  </si>
  <si>
    <t>Chomuda para</t>
  </si>
  <si>
    <t>Tahasin</t>
  </si>
  <si>
    <t>Harala</t>
  </si>
  <si>
    <t>Nazir Hat</t>
  </si>
  <si>
    <t>Amir</t>
  </si>
  <si>
    <t>khan Hat</t>
  </si>
  <si>
    <t>Saidabad</t>
  </si>
  <si>
    <t>Piplu</t>
  </si>
  <si>
    <t>Hasimpur</t>
  </si>
  <si>
    <t>Daily Territory Target</t>
  </si>
  <si>
    <t>Chandanaish Territory - ATDA &amp; ADS Performance Tracking Engine (October 2026 - 26 Working Days)</t>
  </si>
  <si>
    <t>Total Working Days:</t>
  </si>
  <si>
    <t>Working Days Elapsed:</t>
  </si>
  <si>
    <t>Working Days Remaining:</t>
  </si>
  <si>
    <t>Current Date:</t>
  </si>
  <si>
    <t>Monthly Target</t>
  </si>
  <si>
    <t>Target to Date (MTD)</t>
  </si>
  <si>
    <t>Actual Sales - Cigarette</t>
  </si>
  <si>
    <t>Actual Sales - Bidi</t>
  </si>
  <si>
    <t>Total Sales to Date</t>
  </si>
  <si>
    <t>Shortfall / Surplus</t>
  </si>
  <si>
    <t>ATDA % (Achievement)</t>
  </si>
  <si>
    <t>Average Daily Sales (ADS)</t>
  </si>
  <si>
    <t>Required Daily Rate (RDRR)</t>
  </si>
  <si>
    <t>Month-End Projected Sales</t>
  </si>
  <si>
    <t>Projected Month Ach %</t>
  </si>
  <si>
    <t>Chandanaish Territory - Executive Sales Performance &amp; Analysis Dashboard (October 2026)</t>
  </si>
  <si>
    <t>TERRITORY MONTHLY TARGET</t>
  </si>
  <si>
    <t>MTD TARGET TO DATE</t>
  </si>
  <si>
    <t>ACTUAL SALES MTD</t>
  </si>
  <si>
    <t>OVERALL ATDA %</t>
  </si>
  <si>
    <t>AVERAGE DAILY SALES (ADS)</t>
  </si>
  <si>
    <t>MONTH-END PROJECTED SALES</t>
  </si>
  <si>
    <t>TERRITORY BENCHMARKS &amp; BASELINE (OCTOBER 2026)</t>
  </si>
  <si>
    <t>ROUTE PERFORMANCE RANKING LEADERBOARD (SORTED BY ATDA %)</t>
  </si>
  <si>
    <t>Rank</t>
  </si>
  <si>
    <t>MTD Target</t>
  </si>
  <si>
    <t>Actual Sales MTD</t>
  </si>
  <si>
    <t>ATDA %</t>
  </si>
  <si>
    <t>Performance Tier</t>
  </si>
  <si>
    <t>Territory Total / Benchmark</t>
  </si>
  <si>
    <t>12 Active Routes</t>
  </si>
  <si>
    <t>Chandanaish Territory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</si>
</sst>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%"/>
    <numFmt numFmtId="166" formatCode="+#,##0;-#,##0;0"/>
    <numFmt numFmtId="167" formatCode="mmmm yyyy"/>
  </numFmts>
  <fonts count="27">
    <font>
      <sz val="11.0"/>
      <color rgb="FF000000"/>
      <name val="Aptos Narrow"/>
      <scheme val="minor"/>
    </font>
    <font>
      <b/>
      <sz val="13.0"/>
      <color rgb="FFFFFFFF"/>
      <name val="Roboto"/>
    </font>
    <font/>
    <font>
      <sz val="11.0"/>
      <color rgb="FF000000"/>
      <name val="Aptos Narrow"/>
    </font>
    <font>
      <b/>
      <sz val="9.0"/>
      <color rgb="FF1E263F"/>
      <name val="Roboto"/>
    </font>
    <font>
      <b/>
      <sz val="10.0"/>
      <color rgb="FF14192D"/>
      <name val="Roboto"/>
    </font>
    <font>
      <color theme="1"/>
      <name val="Aptos Narrow"/>
      <scheme val="minor"/>
    </font>
    <font>
      <b/>
      <sz val="10.0"/>
      <color rgb="FFFFFFFF"/>
      <name val="Roboto"/>
    </font>
    <font>
      <sz val="12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Aptos Narrow"/>
    </font>
    <font>
      <b/>
      <sz val="10.0"/>
      <color rgb="FF1A1B1F"/>
      <name val="Roboto"/>
    </font>
    <font>
      <sz val="11.0"/>
      <color rgb="FF000000"/>
      <name val="Roboto"/>
    </font>
    <font>
      <b/>
      <sz val="11.0"/>
      <color rgb="FF000000"/>
      <name val="Roboto"/>
    </font>
    <font>
      <sz val="10.0"/>
      <color rgb="FF000000"/>
      <name val="Roboto"/>
    </font>
    <font>
      <b/>
      <sz val="10.0"/>
      <color rgb="FF000000"/>
      <name val="Roboto"/>
    </font>
    <font>
      <b/>
      <sz val="8.0"/>
      <color rgb="FF1E263F"/>
      <name val="Roboto"/>
    </font>
    <font>
      <b/>
      <sz val="10.0"/>
      <color rgb="FF1E263F"/>
      <name val="Roboto"/>
    </font>
    <font>
      <b/>
      <sz val="9.0"/>
      <color rgb="FFFFFFFF"/>
      <name val="Roboto"/>
    </font>
    <font>
      <b/>
      <sz val="16.0"/>
      <color rgb="FF000000"/>
      <name val="Aptos Narrow"/>
    </font>
    <font>
      <sz val="8.0"/>
      <color rgb="FF3F4459"/>
      <name val="Roboto"/>
    </font>
    <font>
      <b/>
      <sz val="11.0"/>
      <color rgb="FFFFFFFF"/>
      <name val="Aptos Narrow"/>
    </font>
    <font>
      <sz val="9.0"/>
      <color rgb="FF000000"/>
      <name val="Roboto"/>
    </font>
    <font>
      <sz val="9.0"/>
      <color theme="1"/>
      <name val="Roboto"/>
    </font>
    <font>
      <b/>
      <sz val="9.0"/>
      <color rgb="FF000000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4A5C91"/>
        <bgColor rgb="FF4A5C91"/>
      </patternFill>
    </fill>
    <fill>
      <patternFill patternType="solid">
        <fgColor rgb="FFDEE0F8"/>
        <bgColor rgb="FFDEE0F8"/>
      </patternFill>
    </fill>
    <fill>
      <patternFill patternType="solid">
        <fgColor rgb="FFFFFFFF"/>
        <bgColor rgb="FFFFFFFF"/>
      </patternFill>
    </fill>
    <fill>
      <patternFill patternType="solid">
        <fgColor rgb="FF334478"/>
        <bgColor rgb="FF334478"/>
      </patternFill>
    </fill>
    <fill>
      <patternFill patternType="solid">
        <fgColor rgb="FFDEDFF7"/>
        <bgColor rgb="FFDEDFF7"/>
      </patternFill>
    </fill>
    <fill>
      <patternFill patternType="solid">
        <fgColor rgb="FFF7F9FC"/>
        <bgColor rgb="FFF7F9FC"/>
      </patternFill>
    </fill>
    <fill>
      <patternFill patternType="solid">
        <fgColor rgb="FF344479"/>
        <bgColor rgb="FF344479"/>
      </patternFill>
    </fill>
    <fill>
      <patternFill patternType="solid">
        <fgColor rgb="FFE8EDF4"/>
        <bgColor rgb="FFE8EDF4"/>
      </patternFill>
    </fill>
    <fill>
      <patternFill patternType="solid">
        <fgColor rgb="FFEDF2FF"/>
        <bgColor rgb="FFEDF2FF"/>
      </patternFill>
    </fill>
    <fill>
      <patternFill patternType="solid">
        <fgColor rgb="FFF9F8FF"/>
        <bgColor rgb="FFF9F8FF"/>
      </patternFill>
    </fill>
    <fill>
      <patternFill patternType="solid">
        <fgColor rgb="FFEDECF4"/>
        <bgColor rgb="FFEDECF4"/>
      </patternFill>
    </fill>
    <fill>
      <patternFill patternType="solid">
        <fgColor rgb="FF2A3E74"/>
        <bgColor rgb="FF2A3E74"/>
      </patternFill>
    </fill>
    <fill>
      <patternFill patternType="solid">
        <fgColor rgb="FFF2F4F9"/>
        <bgColor rgb="FFF2F4F9"/>
      </patternFill>
    </fill>
    <fill>
      <patternFill patternType="solid">
        <fgColor rgb="FF4B5C92"/>
        <bgColor rgb="FF4B5C92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334478"/>
      </left>
      <right style="thin">
        <color rgb="FFD8DBE5"/>
      </right>
      <bottom style="thin">
        <color rgb="FFD8DBE5"/>
      </bottom>
    </border>
    <border>
      <left style="thin">
        <color rgb="FFD8DBE5"/>
      </left>
      <right style="thin">
        <color rgb="FFD8DBE5"/>
      </right>
      <bottom style="thin">
        <color rgb="FFD8DBE5"/>
      </bottom>
    </border>
    <border>
      <left style="thin">
        <color rgb="FFD8DBE5"/>
      </left>
      <right style="medium">
        <color rgb="FF334478"/>
      </right>
      <bottom style="thin">
        <color rgb="FFD8DBE5"/>
      </bottom>
    </border>
    <border>
      <left style="medium">
        <color rgb="FF334478"/>
      </left>
      <right style="thin">
        <color rgb="FFD8DBE5"/>
      </right>
      <top style="thin">
        <color rgb="FFD8DBE5"/>
      </top>
      <bottom style="thin">
        <color rgb="FFD8DBE5"/>
      </bottom>
    </border>
    <border>
      <left style="thin">
        <color rgb="FFD8DBE5"/>
      </left>
      <right style="thin">
        <color rgb="FFD8DBE5"/>
      </right>
      <top style="thin">
        <color rgb="FFD8DBE5"/>
      </top>
      <bottom style="thin">
        <color rgb="FFD8DBE5"/>
      </bottom>
    </border>
    <border>
      <left style="thin">
        <color rgb="FFD8DBE5"/>
      </left>
      <right style="medium">
        <color rgb="FF334478"/>
      </right>
      <top style="thin">
        <color rgb="FFD8DBE5"/>
      </top>
      <bottom style="thin">
        <color rgb="FFD8DBE5"/>
      </bottom>
    </border>
    <border>
      <left style="medium">
        <color rgb="FF334478"/>
      </left>
      <top style="thin">
        <color rgb="FFD8DBE5"/>
      </top>
      <bottom style="medium">
        <color rgb="FF334478"/>
      </bottom>
    </border>
    <border>
      <top style="thin">
        <color rgb="FFD8DBE5"/>
      </top>
      <bottom style="medium">
        <color rgb="FF334478"/>
      </bottom>
    </border>
    <border>
      <right style="thin">
        <color rgb="FFD8DBE5"/>
      </right>
      <top style="thin">
        <color rgb="FFD8DBE5"/>
      </top>
      <bottom style="medium">
        <color rgb="FF334478"/>
      </bottom>
    </border>
    <border>
      <left style="thin">
        <color rgb="FFD8DBE5"/>
      </left>
      <right style="thin">
        <color rgb="FFD8DBE5"/>
      </right>
      <top style="thin">
        <color rgb="FFD8DBE5"/>
      </top>
      <bottom style="medium">
        <color rgb="FF334478"/>
      </bottom>
    </border>
    <border>
      <left style="thin">
        <color rgb="FFD8DBE5"/>
      </left>
      <right style="medium">
        <color rgb="FF334478"/>
      </right>
      <top style="thin">
        <color rgb="FFD8DBE5"/>
      </top>
      <bottom style="medium">
        <color rgb="FF334478"/>
      </bottom>
    </border>
    <border>
      <left style="thin">
        <color rgb="FFD8D8E0"/>
      </left>
      <bottom style="thin">
        <color rgb="FFD8D8E0"/>
      </bottom>
    </border>
    <border>
      <bottom style="thin">
        <color rgb="FFD8D8E0"/>
      </bottom>
    </border>
    <border>
      <right style="thin">
        <color rgb="FFD8D8E0"/>
      </right>
      <bottom style="thin">
        <color rgb="FFD8D8E0"/>
      </bottom>
    </border>
    <border>
      <left style="thin">
        <color rgb="FFD8D8E0"/>
      </left>
      <right style="thin">
        <color rgb="FFD8D8E0"/>
      </right>
      <bottom style="thin">
        <color rgb="FFD8D8E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164" xfId="0" applyAlignment="1" applyBorder="1" applyFill="1" applyFont="1" applyNumberForma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4" fillId="5" fontId="7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4" fillId="0" fontId="9" numFmtId="3" xfId="0" applyAlignment="1" applyBorder="1" applyFont="1" applyNumberFormat="1">
      <alignment horizontal="center" vertical="center"/>
    </xf>
    <xf borderId="4" fillId="0" fontId="9" numFmtId="2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0" fontId="3" numFmtId="165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6" fontId="10" numFmtId="0" xfId="0" applyAlignment="1" applyBorder="1" applyFill="1" applyFont="1">
      <alignment horizontal="center" vertical="center"/>
    </xf>
    <xf borderId="4" fillId="6" fontId="11" numFmtId="3" xfId="0" applyAlignment="1" applyBorder="1" applyFill="1" applyFont="1" applyNumberFormat="1">
      <alignment horizontal="center" vertical="center"/>
    </xf>
    <xf borderId="4" fillId="6" fontId="11" numFmtId="2" xfId="0" applyAlignment="1" applyBorder="1" applyFill="1" applyFont="1" applyNumberFormat="1">
      <alignment horizontal="center" vertical="center"/>
    </xf>
    <xf borderId="4" fillId="6" fontId="12" numFmtId="2" xfId="0" applyAlignment="1" applyBorder="1" applyFill="1" applyFont="1" applyNumberFormat="1">
      <alignment horizontal="center" vertical="center"/>
    </xf>
    <xf borderId="4" fillId="6" fontId="12" numFmtId="165" xfId="0" applyAlignment="1" applyBorder="1" applyFill="1" applyFont="1" applyNumberFormat="1">
      <alignment horizontal="center" vertical="center"/>
    </xf>
    <xf borderId="4" fillId="6" fontId="12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center" vertical="center"/>
    </xf>
    <xf borderId="7" fillId="4" fontId="9" numFmtId="0" xfId="0" applyAlignment="1" applyBorder="1" applyFill="1" applyFont="1">
      <alignment vertical="bottom"/>
    </xf>
    <xf borderId="7" fillId="4" fontId="9" numFmtId="3" xfId="0" applyAlignment="1" applyBorder="1" applyFill="1" applyFont="1" applyNumberFormat="1">
      <alignment horizontal="center" vertical="bottom"/>
    </xf>
    <xf borderId="7" fillId="4" fontId="3" numFmtId="166" xfId="0" applyAlignment="1" applyBorder="1" applyFill="1" applyFont="1" applyNumberFormat="1">
      <alignment horizontal="center" vertical="center"/>
    </xf>
    <xf borderId="7" fillId="4" fontId="3" numFmtId="165" xfId="0" applyAlignment="1" applyBorder="1" applyFill="1" applyFont="1" applyNumberForma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4" fontId="9" numFmtId="0" xfId="0" applyAlignment="1" applyBorder="1" applyFill="1" applyFont="1">
      <alignment vertical="bottom"/>
    </xf>
    <xf borderId="8" fillId="4" fontId="9" numFmtId="3" xfId="0" applyAlignment="1" applyBorder="1" applyFill="1" applyFont="1" applyNumberFormat="1">
      <alignment vertical="bottom"/>
    </xf>
    <xf borderId="8" fillId="4" fontId="3" numFmtId="166" xfId="0" applyAlignment="1" applyBorder="1" applyFill="1" applyFont="1" applyNumberFormat="1">
      <alignment vertical="center"/>
    </xf>
    <xf borderId="8" fillId="4" fontId="3" numFmtId="165" xfId="0" applyAlignment="1" applyBorder="1" applyFill="1" applyFont="1" applyNumberFormat="1">
      <alignment horizontal="center" vertical="center"/>
    </xf>
    <xf borderId="8" fillId="4" fontId="3" numFmtId="0" xfId="0" applyAlignment="1" applyBorder="1" applyFill="1" applyFont="1">
      <alignment vertical="center"/>
    </xf>
    <xf borderId="9" fillId="4" fontId="13" numFmtId="0" xfId="0" applyAlignment="1" applyBorder="1" applyFill="1" applyFont="1">
      <alignment horizontal="center"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8" fillId="4" fontId="13" numFmtId="3" xfId="0" applyAlignment="1" applyBorder="1" applyFill="1" applyFont="1" applyNumberFormat="1">
      <alignment vertical="center"/>
    </xf>
    <xf borderId="8" fillId="4" fontId="13" numFmtId="166" xfId="0" applyAlignment="1" applyBorder="1" applyFill="1" applyFont="1" applyNumberFormat="1">
      <alignment vertical="center"/>
    </xf>
    <xf borderId="8" fillId="4" fontId="13" numFmtId="165" xfId="0" applyAlignment="1" applyBorder="1" applyFill="1" applyFont="1" applyNumberFormat="1">
      <alignment horizontal="center" vertical="center"/>
    </xf>
    <xf borderId="8" fillId="4" fontId="13" numFmtId="0" xfId="0" applyAlignment="1" applyBorder="1" applyFill="1" applyFont="1">
      <alignment vertical="center"/>
    </xf>
    <xf borderId="4" fillId="0" fontId="9" numFmtId="0" xfId="0" applyAlignment="1" applyBorder="1" applyFont="1">
      <alignment vertical="bottom"/>
    </xf>
    <xf borderId="12" fillId="0" fontId="8" numFmtId="0" xfId="0" applyAlignment="1" applyBorder="1" applyFont="1">
      <alignment horizontal="center" vertical="center"/>
    </xf>
    <xf borderId="13" fillId="0" fontId="9" numFmtId="0" xfId="0" applyAlignment="1" applyBorder="1" applyFont="1">
      <alignment vertical="bottom"/>
    </xf>
    <xf borderId="13" fillId="0" fontId="9" numFmtId="3" xfId="0" applyAlignment="1" applyBorder="1" applyFont="1" applyNumberFormat="1">
      <alignment horizontal="center" vertical="bottom"/>
    </xf>
    <xf borderId="13" fillId="0" fontId="3" numFmtId="166" xfId="0" applyAlignment="1" applyBorder="1" applyFont="1" applyNumberFormat="1">
      <alignment horizontal="center" vertical="center"/>
    </xf>
    <xf borderId="13" fillId="0" fontId="3" numFmtId="165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6" fillId="0" fontId="9" numFmtId="0" xfId="0" applyAlignment="1" applyBorder="1" applyFont="1">
      <alignment vertical="bottom"/>
    </xf>
    <xf borderId="16" fillId="0" fontId="9" numFmtId="3" xfId="0" applyAlignment="1" applyBorder="1" applyFont="1" applyNumberFormat="1">
      <alignment vertical="bottom"/>
    </xf>
    <xf borderId="16" fillId="0" fontId="3" numFmtId="166" xfId="0" applyAlignment="1" applyBorder="1" applyFont="1" applyNumberFormat="1">
      <alignment vertical="center"/>
    </xf>
    <xf borderId="16" fillId="0" fontId="3" numFmtId="165" xfId="0" applyAlignment="1" applyBorder="1" applyFont="1" applyNumberFormat="1">
      <alignment horizontal="center" vertical="center"/>
    </xf>
    <xf borderId="17" fillId="0" fontId="3" numFmtId="0" xfId="0" applyAlignment="1" applyBorder="1" applyFont="1">
      <alignment vertical="center"/>
    </xf>
    <xf borderId="18" fillId="6" fontId="13" numFmtId="0" xfId="0" applyAlignment="1" applyBorder="1" applyFill="1" applyFon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6" fontId="13" numFmtId="3" xfId="0" applyAlignment="1" applyBorder="1" applyFill="1" applyFont="1" applyNumberFormat="1">
      <alignment vertical="center"/>
    </xf>
    <xf borderId="21" fillId="6" fontId="13" numFmtId="166" xfId="0" applyAlignment="1" applyBorder="1" applyFill="1" applyFont="1" applyNumberFormat="1">
      <alignment vertical="center"/>
    </xf>
    <xf borderId="21" fillId="6" fontId="13" numFmtId="165" xfId="0" applyAlignment="1" applyBorder="1" applyFill="1" applyFont="1" applyNumberFormat="1">
      <alignment horizontal="center" vertical="center"/>
    </xf>
    <xf borderId="22" fillId="6" fontId="13" numFmtId="0" xfId="0" applyAlignment="1" applyBorder="1" applyFill="1" applyFont="1">
      <alignment vertical="center"/>
    </xf>
    <xf borderId="6" fillId="0" fontId="9" numFmtId="0" xfId="0" applyAlignment="1" applyBorder="1" applyFont="1">
      <alignment vertical="bottom"/>
    </xf>
    <xf borderId="4" fillId="2" fontId="7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right" shrinkToFit="0" vertical="center" wrapText="1"/>
    </xf>
    <xf borderId="4" fillId="4" fontId="5" numFmtId="167" xfId="0" applyAlignment="1" applyBorder="1" applyFill="1" applyFont="1" applyNumberFormat="1">
      <alignment horizontal="center" shrinkToFit="0" vertical="center" wrapText="1"/>
    </xf>
    <xf borderId="4" fillId="4" fontId="5" numFmtId="1" xfId="0" applyAlignment="1" applyBorder="1" applyFill="1" applyFont="1" applyNumberFormat="1">
      <alignment horizontal="center" shrinkToFit="0" vertical="center" wrapText="1"/>
    </xf>
    <xf borderId="4" fillId="7" fontId="14" numFmtId="0" xfId="0" applyAlignment="1" applyBorder="1" applyFill="1" applyFont="1">
      <alignment vertical="center"/>
    </xf>
    <xf borderId="4" fillId="7" fontId="15" numFmtId="2" xfId="0" applyAlignment="1" applyBorder="1" applyFill="1" applyFont="1" applyNumberFormat="1">
      <alignment horizontal="right" vertical="center"/>
    </xf>
    <xf borderId="4" fillId="8" fontId="7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vertical="bottom"/>
    </xf>
    <xf borderId="4" fillId="7" fontId="12" numFmtId="2" xfId="0" applyAlignment="1" applyBorder="1" applyFill="1" applyFont="1" applyNumberFormat="1">
      <alignment horizontal="right" vertical="bottom"/>
    </xf>
    <xf borderId="4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left" vertical="center"/>
    </xf>
    <xf borderId="4" fillId="0" fontId="16" numFmtId="0" xfId="0" applyAlignment="1" applyBorder="1" applyFont="1">
      <alignment horizontal="left" vertical="center"/>
    </xf>
    <xf borderId="4" fillId="0" fontId="16" numFmtId="3" xfId="0" applyAlignment="1" applyBorder="1" applyFont="1" applyNumberFormat="1">
      <alignment horizontal="center" vertical="center"/>
    </xf>
    <xf borderId="4" fillId="0" fontId="16" numFmtId="2" xfId="0" applyAlignment="1" applyBorder="1" applyFont="1" applyNumberFormat="1">
      <alignment horizontal="center" vertical="center"/>
    </xf>
    <xf borderId="1" fillId="9" fontId="17" numFmtId="0" xfId="0" applyAlignment="1" applyBorder="1" applyFill="1" applyFont="1">
      <alignment horizontal="center" vertical="center"/>
    </xf>
    <xf borderId="4" fillId="9" fontId="17" numFmtId="3" xfId="0" applyAlignment="1" applyBorder="1" applyFill="1" applyFont="1" applyNumberFormat="1">
      <alignment horizontal="center" vertical="center"/>
    </xf>
    <xf borderId="4" fillId="9" fontId="17" numFmtId="2" xfId="0" applyAlignment="1" applyBorder="1" applyFill="1" applyFont="1" applyNumberFormat="1">
      <alignment horizontal="center" vertical="center"/>
    </xf>
    <xf borderId="23" fillId="10" fontId="17" numFmtId="0" xfId="0" applyAlignment="1" applyBorder="1" applyFill="1" applyFont="1">
      <alignment horizontal="center" vertical="center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6" fillId="10" fontId="17" numFmtId="3" xfId="0" applyAlignment="1" applyBorder="1" applyFill="1" applyFont="1" applyNumberFormat="1">
      <alignment horizontal="center" vertical="center"/>
    </xf>
    <xf borderId="26" fillId="10" fontId="17" numFmtId="2" xfId="0" applyAlignment="1" applyBorder="1" applyFill="1" applyFont="1" applyNumberFormat="1">
      <alignment horizontal="center" vertical="center"/>
    </xf>
    <xf borderId="8" fillId="4" fontId="16" numFmtId="0" xfId="0" applyAlignment="1" applyBorder="1" applyFill="1" applyFont="1">
      <alignment horizontal="center" vertical="center"/>
    </xf>
    <xf borderId="8" fillId="4" fontId="16" numFmtId="0" xfId="0" applyAlignment="1" applyBorder="1" applyFill="1" applyFont="1">
      <alignment horizontal="left" vertical="center"/>
    </xf>
    <xf borderId="8" fillId="4" fontId="16" numFmtId="3" xfId="0" applyAlignment="1" applyBorder="1" applyFill="1" applyFont="1" applyNumberFormat="1">
      <alignment horizontal="right" vertical="center"/>
    </xf>
    <xf borderId="9" fillId="4" fontId="17" numFmtId="3" xfId="0" applyAlignment="1" applyBorder="1" applyFill="1" applyFont="1" applyNumberFormat="1">
      <alignment horizontal="right" vertical="center"/>
    </xf>
    <xf borderId="8" fillId="4" fontId="17" numFmtId="3" xfId="0" applyAlignment="1" applyBorder="1" applyFill="1" applyFont="1" applyNumberFormat="1">
      <alignment horizontal="right" vertical="center"/>
    </xf>
    <xf borderId="8" fillId="4" fontId="3" numFmtId="0" xfId="0" applyAlignment="1" applyBorder="1" applyFill="1" applyFont="1">
      <alignment vertical="bottom"/>
    </xf>
    <xf borderId="4" fillId="3" fontId="18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ill="1" applyFont="1">
      <alignment horizontal="right" shrinkToFit="0" vertical="center" wrapText="1"/>
    </xf>
    <xf borderId="4" fillId="4" fontId="5" numFmtId="1" xfId="0" applyAlignment="1" applyBorder="1" applyFill="1" applyFont="1" applyNumberFormat="1">
      <alignment horizontal="center" shrinkToFit="0" vertical="center" wrapText="1"/>
    </xf>
    <xf borderId="1" fillId="4" fontId="5" numFmtId="164" xfId="0" applyAlignment="1" applyBorder="1" applyFill="1" applyFont="1" applyNumberFormat="1">
      <alignment horizontal="center" shrinkToFit="0" vertical="center" wrapText="1"/>
    </xf>
    <xf borderId="4" fillId="0" fontId="17" numFmtId="165" xfId="0" applyAlignment="1" applyBorder="1" applyFont="1" applyNumberFormat="1">
      <alignment horizontal="center" vertical="center"/>
    </xf>
    <xf borderId="4" fillId="9" fontId="17" numFmtId="165" xfId="0" applyAlignment="1" applyBorder="1" applyFill="1" applyFont="1" applyNumberFormat="1">
      <alignment horizontal="center" vertical="center"/>
    </xf>
    <xf borderId="7" fillId="4" fontId="16" numFmtId="0" xfId="0" applyAlignment="1" applyBorder="1" applyFill="1" applyFont="1">
      <alignment horizontal="center" vertical="center"/>
    </xf>
    <xf borderId="7" fillId="4" fontId="16" numFmtId="0" xfId="0" applyAlignment="1" applyBorder="1" applyFill="1" applyFont="1">
      <alignment horizontal="left" vertical="center"/>
    </xf>
    <xf borderId="7" fillId="4" fontId="16" numFmtId="3" xfId="0" applyAlignment="1" applyBorder="1" applyFill="1" applyFont="1" applyNumberFormat="1">
      <alignment horizontal="right" vertical="center"/>
    </xf>
    <xf borderId="7" fillId="4" fontId="16" numFmtId="166" xfId="0" applyAlignment="1" applyBorder="1" applyFill="1" applyFont="1" applyNumberFormat="1">
      <alignment horizontal="right" vertical="center"/>
    </xf>
    <xf borderId="7" fillId="4" fontId="17" numFmtId="165" xfId="0" applyAlignment="1" applyBorder="1" applyFill="1" applyFont="1" applyNumberFormat="1">
      <alignment horizontal="right" vertical="center"/>
    </xf>
    <xf borderId="8" fillId="4" fontId="16" numFmtId="166" xfId="0" applyAlignment="1" applyBorder="1" applyFill="1" applyFont="1" applyNumberFormat="1">
      <alignment horizontal="right" vertical="center"/>
    </xf>
    <xf borderId="8" fillId="4" fontId="17" numFmtId="165" xfId="0" applyAlignment="1" applyBorder="1" applyFill="1" applyFont="1" applyNumberFormat="1">
      <alignment horizontal="right" vertical="center"/>
    </xf>
    <xf borderId="8" fillId="4" fontId="17" numFmtId="166" xfId="0" applyAlignment="1" applyBorder="1" applyFill="1" applyFont="1" applyNumberFormat="1">
      <alignment horizontal="right" vertical="center"/>
    </xf>
    <xf borderId="9" fillId="2" fontId="1" numFmtId="0" xfId="0" applyAlignment="1" applyBorder="1" applyFill="1" applyFont="1">
      <alignment horizontal="center" vertical="center"/>
    </xf>
    <xf borderId="9" fillId="3" fontId="19" numFmtId="0" xfId="0" applyAlignment="1" applyBorder="1" applyFill="1" applyFont="1">
      <alignment horizontal="center" shrinkToFit="0" vertical="center" wrapText="1"/>
    </xf>
    <xf borderId="1" fillId="8" fontId="20" numFmtId="0" xfId="0" applyAlignment="1" applyBorder="1" applyFill="1" applyFont="1">
      <alignment horizontal="center" vertical="center"/>
    </xf>
    <xf borderId="4" fillId="8" fontId="20" numFmtId="0" xfId="0" applyAlignment="1" applyBorder="1" applyFill="1" applyFont="1">
      <alignment horizontal="center" vertical="center"/>
    </xf>
    <xf borderId="1" fillId="11" fontId="21" numFmtId="2" xfId="0" applyAlignment="1" applyBorder="1" applyFill="1" applyFont="1" applyNumberFormat="1">
      <alignment horizontal="center" vertical="center"/>
    </xf>
    <xf borderId="1" fillId="11" fontId="21" numFmtId="165" xfId="0" applyAlignment="1" applyBorder="1" applyFill="1" applyFont="1" applyNumberFormat="1">
      <alignment horizontal="center" vertical="center"/>
    </xf>
    <xf borderId="4" fillId="11" fontId="21" numFmtId="2" xfId="0" applyAlignment="1" applyBorder="1" applyFill="1" applyFont="1" applyNumberFormat="1">
      <alignment horizontal="center" vertical="center"/>
    </xf>
    <xf borderId="1" fillId="12" fontId="22" numFmtId="0" xfId="0" applyAlignment="1" applyBorder="1" applyFill="1" applyFont="1">
      <alignment horizontal="center" vertical="center"/>
    </xf>
    <xf borderId="4" fillId="12" fontId="22" numFmtId="0" xfId="0" applyAlignment="1" applyBorder="1" applyFill="1" applyFont="1">
      <alignment horizontal="center" vertical="center"/>
    </xf>
    <xf borderId="1" fillId="13" fontId="23" numFmtId="0" xfId="0" applyAlignment="1" applyBorder="1" applyFill="1" applyFont="1">
      <alignment horizontal="center" vertical="center"/>
    </xf>
    <xf borderId="1" fillId="14" fontId="12" numFmtId="0" xfId="0" applyAlignment="1" applyBorder="1" applyFill="1" applyFont="1">
      <alignment horizontal="center" vertical="center"/>
    </xf>
    <xf borderId="4" fillId="14" fontId="12" numFmtId="0" xfId="0" applyAlignment="1" applyBorder="1" applyFill="1" applyFont="1">
      <alignment horizontal="center" vertical="center"/>
    </xf>
    <xf borderId="1" fillId="15" fontId="7" numFmtId="0" xfId="0" applyAlignment="1" applyBorder="1" applyFill="1" applyFont="1">
      <alignment horizontal="center" vertical="center"/>
    </xf>
    <xf borderId="4" fillId="0" fontId="24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left" vertical="center"/>
    </xf>
    <xf borderId="4" fillId="4" fontId="25" numFmtId="0" xfId="0" applyAlignment="1" applyBorder="1" applyFill="1" applyFont="1">
      <alignment horizontal="left" vertical="center"/>
    </xf>
    <xf borderId="4" fillId="0" fontId="24" numFmtId="2" xfId="0" applyAlignment="1" applyBorder="1" applyFont="1" applyNumberFormat="1">
      <alignment horizontal="center" vertical="center"/>
    </xf>
    <xf borderId="4" fillId="0" fontId="26" numFmtId="165" xfId="0" applyAlignment="1" applyBorder="1" applyFont="1" applyNumberFormat="1">
      <alignment horizontal="center" vertical="center"/>
    </xf>
    <xf borderId="4" fillId="0" fontId="26" numFmtId="0" xfId="0" applyAlignment="1" applyBorder="1" applyFont="1">
      <alignment horizontal="center" vertical="center"/>
    </xf>
    <xf borderId="4" fillId="9" fontId="26" numFmtId="0" xfId="0" applyAlignment="1" applyBorder="1" applyFill="1" applyFont="1">
      <alignment horizontal="center" vertical="center"/>
    </xf>
    <xf borderId="4" fillId="9" fontId="26" numFmtId="0" xfId="0" applyAlignment="1" applyBorder="1" applyFill="1" applyFont="1">
      <alignment horizontal="left" vertical="center"/>
    </xf>
    <xf borderId="4" fillId="9" fontId="26" numFmtId="2" xfId="0" applyAlignment="1" applyBorder="1" applyFill="1" applyFont="1" applyNumberFormat="1">
      <alignment horizontal="center" vertical="center"/>
    </xf>
    <xf borderId="4" fillId="9" fontId="26" numFmtId="165" xfId="0" applyAlignment="1" applyBorder="1" applyFill="1" applyFont="1" applyNumberFormat="1">
      <alignment horizontal="center" vertical="center"/>
    </xf>
    <xf borderId="7" fillId="4" fontId="26" numFmtId="3" xfId="0" applyAlignment="1" applyBorder="1" applyFill="1" applyFont="1" applyNumberFormat="1">
      <alignment horizontal="left" vertical="center"/>
    </xf>
    <xf borderId="7" fillId="4" fontId="26" numFmtId="3" xfId="0" applyAlignment="1" applyBorder="1" applyFill="1" applyFont="1" applyNumberFormat="1">
      <alignment horizontal="right" vertical="center"/>
    </xf>
    <xf borderId="7" fillId="4" fontId="26" numFmtId="166" xfId="0" applyAlignment="1" applyBorder="1" applyFill="1" applyFont="1" applyNumberFormat="1">
      <alignment horizontal="right" vertical="center"/>
    </xf>
    <xf borderId="7" fillId="4" fontId="26" numFmtId="165" xfId="0" applyAlignment="1" applyBorder="1" applyFill="1" applyFont="1" applyNumberFormat="1">
      <alignment horizontal="right" vertical="center"/>
    </xf>
    <xf borderId="7" fillId="4" fontId="26" numFmtId="3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5"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C5211F"/>
      </font>
      <fill>
        <patternFill patternType="solid">
          <fgColor rgb="FFFBE8E6"/>
          <bgColor rgb="FFFBE8E6"/>
        </patternFill>
      </fill>
      <border/>
    </dxf>
    <dxf>
      <font>
        <b/>
        <color rgb="FF055E44"/>
      </font>
      <fill>
        <patternFill patternType="solid">
          <fgColor rgb="FFD1F9E5"/>
          <bgColor rgb="FFD1F9E5"/>
        </patternFill>
      </fill>
      <border/>
    </dxf>
    <dxf>
      <font>
        <b/>
        <color rgb="FF913F0C"/>
      </font>
      <fill>
        <patternFill patternType="solid">
          <fgColor rgb="FFFCF2C6"/>
          <bgColor rgb="FFFCF2C6"/>
        </patternFill>
      </fill>
      <border/>
    </dxf>
    <dxf>
      <font>
        <b/>
        <color rgb="FF991C1C"/>
      </font>
      <fill>
        <patternFill patternType="solid">
          <fgColor rgb="FFFCE0E0"/>
          <bgColor rgb="FFFCE0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Roboto"/>
              </a:defRPr>
            </a:pPr>
            <a:r>
              <a:rPr b="0" i="0">
                <a:solidFill>
                  <a:srgbClr val="757575"/>
                </a:solidFill>
                <a:latin typeface="Roboto"/>
              </a:rPr>
              <a:t>MTD Target vs. Actual Sales Achievement Across Routes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MTD Target</c:v>
          </c:tx>
          <c:spPr>
            <a:solidFill>
              <a:srgbClr val="4A5C92"/>
            </a:solidFill>
            <a:ln cmpd="sng">
              <a:noFill/>
            </a:ln>
          </c:spPr>
          <c:invertIfNegative val="0"/>
          <c:cat>
            <c:strRef>
              <c:f>Analysis!$B$12:$B$23</c:f>
            </c:strRef>
          </c:cat>
          <c:val>
            <c:numRef>
              <c:f>Analysis!$D$12:$D$23</c:f>
              <c:numCache/>
            </c:numRef>
          </c:val>
        </c:ser>
        <c:ser>
          <c:idx val="1"/>
          <c:order val="1"/>
          <c:tx>
            <c:v>Actual Sales MTD</c:v>
          </c:tx>
          <c:spPr>
            <a:solidFill>
              <a:srgbClr val="3DC089"/>
            </a:solidFill>
            <a:ln cmpd="sng">
              <a:noFill/>
            </a:ln>
          </c:spPr>
          <c:invertIfNegative val="0"/>
          <c:cat>
            <c:strRef>
              <c:f>Analysis!$B$12:$B$23</c:f>
            </c:strRef>
          </c:cat>
          <c:val>
            <c:numRef>
              <c:f>Analysis!$E$12:$E$23</c:f>
              <c:numCache/>
            </c:numRef>
          </c:val>
        </c:ser>
        <c:axId val="1384316263"/>
        <c:axId val="1013981283"/>
      </c:barChart>
      <c:catAx>
        <c:axId val="1384316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Route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13981283"/>
      </c:catAx>
      <c:valAx>
        <c:axId val="1013981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Volume Target &amp; Actuals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8431626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26</xdr:row>
      <xdr:rowOff>9525</xdr:rowOff>
    </xdr:from>
    <xdr:ext cx="7439025" cy="3800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46296.0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0.05</v>
      </c>
      <c r="H5" s="19"/>
      <c r="I5" s="19">
        <f t="shared" ref="I5:I16" si="1">IF(AND(G5="",H5=""),"",SUM(G5:H5))</f>
        <v>0.05</v>
      </c>
      <c r="J5" s="20">
        <f t="shared" ref="J5:J17" si="2">IF(I5="","",I5-(E5+N(F5)))</f>
        <v>0</v>
      </c>
      <c r="K5" s="21">
        <f t="shared" ref="K5:K17" si="3">IF(I5="","",IFERROR(I5/(E5+N(F5)),0))</f>
        <v>1</v>
      </c>
      <c r="L5" s="22" t="str">
        <f t="shared" ref="L5:L16" si="4">IF(I5="","",IF(K5&gt;=1.01,"Top Performer",IF(K5&gt;=1,"Achieved",IF(K5&gt;=0.98,"Near Target","Needs Pacing"))))</f>
        <v>Achieved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0.02</v>
      </c>
      <c r="H8" s="19"/>
      <c r="I8" s="19">
        <f t="shared" si="1"/>
        <v>0.02</v>
      </c>
      <c r="J8" s="20">
        <f t="shared" si="2"/>
        <v>-0.01</v>
      </c>
      <c r="K8" s="21">
        <f t="shared" si="3"/>
        <v>0.6666666667</v>
      </c>
      <c r="L8" s="22" t="str">
        <f t="shared" si="4"/>
        <v>Needs Pacing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0.05</v>
      </c>
      <c r="H10" s="19"/>
      <c r="I10" s="19">
        <f t="shared" si="1"/>
        <v>0.05</v>
      </c>
      <c r="J10" s="20">
        <f t="shared" si="2"/>
        <v>0.02</v>
      </c>
      <c r="K10" s="21">
        <f t="shared" si="3"/>
        <v>1.666666667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0.05</v>
      </c>
      <c r="H12" s="19"/>
      <c r="I12" s="19">
        <f t="shared" si="1"/>
        <v>0.05</v>
      </c>
      <c r="J12" s="20">
        <f t="shared" si="2"/>
        <v>0.02</v>
      </c>
      <c r="K12" s="21">
        <f t="shared" si="3"/>
        <v>1.666666667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0.05</v>
      </c>
      <c r="H14" s="19"/>
      <c r="I14" s="19">
        <f t="shared" si="1"/>
        <v>0.05</v>
      </c>
      <c r="J14" s="20">
        <f t="shared" si="2"/>
        <v>0</v>
      </c>
      <c r="K14" s="21">
        <f t="shared" si="3"/>
        <v>1</v>
      </c>
      <c r="L14" s="22" t="str">
        <f t="shared" si="4"/>
        <v>Achieved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0.08</v>
      </c>
      <c r="H15" s="19"/>
      <c r="I15" s="19">
        <f t="shared" si="1"/>
        <v>0.08</v>
      </c>
      <c r="J15" s="20">
        <f t="shared" si="2"/>
        <v>0.03</v>
      </c>
      <c r="K15" s="21">
        <f t="shared" si="3"/>
        <v>1.6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</v>
      </c>
      <c r="H17" s="25" t="str">
        <f t="shared" si="5"/>
        <v/>
      </c>
      <c r="I17" s="25">
        <f t="shared" si="5"/>
        <v>0.3</v>
      </c>
      <c r="J17" s="26">
        <f t="shared" si="2"/>
        <v>-0.29</v>
      </c>
      <c r="K17" s="27">
        <f t="shared" si="3"/>
        <v>0.5084745763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29"/>
      <c r="B18" s="30"/>
      <c r="C18" s="30"/>
      <c r="D18" s="31"/>
      <c r="E18" s="31"/>
      <c r="F18" s="31"/>
      <c r="G18" s="31"/>
      <c r="H18" s="31"/>
      <c r="I18" s="31"/>
      <c r="J18" s="32"/>
      <c r="K18" s="33"/>
      <c r="L18" s="3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35"/>
      <c r="B19" s="36"/>
      <c r="C19" s="36"/>
      <c r="D19" s="37"/>
      <c r="E19" s="37"/>
      <c r="F19" s="37"/>
      <c r="G19" s="37"/>
      <c r="H19" s="37"/>
      <c r="I19" s="37"/>
      <c r="J19" s="38"/>
      <c r="K19" s="39"/>
      <c r="L19" s="4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35"/>
      <c r="B20" s="36"/>
      <c r="C20" s="36"/>
      <c r="D20" s="37"/>
      <c r="E20" s="37"/>
      <c r="F20" s="37"/>
      <c r="G20" s="37"/>
      <c r="H20" s="37"/>
      <c r="I20" s="37"/>
      <c r="J20" s="38"/>
      <c r="K20" s="39"/>
      <c r="L20" s="4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35"/>
      <c r="B21" s="36"/>
      <c r="C21" s="36"/>
      <c r="D21" s="37"/>
      <c r="E21" s="37"/>
      <c r="F21" s="37"/>
      <c r="G21" s="37"/>
      <c r="H21" s="37"/>
      <c r="I21" s="37"/>
      <c r="J21" s="38"/>
      <c r="K21" s="39"/>
      <c r="L21" s="4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35"/>
      <c r="B22" s="36"/>
      <c r="C22" s="36"/>
      <c r="D22" s="37"/>
      <c r="E22" s="37"/>
      <c r="F22" s="37"/>
      <c r="G22" s="37"/>
      <c r="H22" s="37"/>
      <c r="I22" s="37"/>
      <c r="J22" s="38"/>
      <c r="K22" s="39"/>
      <c r="L22" s="4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35"/>
      <c r="B23" s="36"/>
      <c r="C23" s="36"/>
      <c r="D23" s="37"/>
      <c r="E23" s="37"/>
      <c r="F23" s="37"/>
      <c r="G23" s="37"/>
      <c r="H23" s="37"/>
      <c r="I23" s="37"/>
      <c r="J23" s="38"/>
      <c r="K23" s="39"/>
      <c r="L23" s="4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35"/>
      <c r="B24" s="36"/>
      <c r="C24" s="36"/>
      <c r="D24" s="37"/>
      <c r="E24" s="37"/>
      <c r="F24" s="37"/>
      <c r="G24" s="37"/>
      <c r="H24" s="37"/>
      <c r="I24" s="37"/>
      <c r="J24" s="38"/>
      <c r="K24" s="39"/>
      <c r="L24" s="4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35"/>
      <c r="B25" s="36"/>
      <c r="C25" s="36"/>
      <c r="D25" s="37"/>
      <c r="E25" s="37"/>
      <c r="F25" s="37"/>
      <c r="G25" s="37"/>
      <c r="H25" s="37"/>
      <c r="I25" s="37"/>
      <c r="J25" s="38"/>
      <c r="K25" s="39"/>
      <c r="L25" s="4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35"/>
      <c r="B26" s="36"/>
      <c r="C26" s="36"/>
      <c r="D26" s="37"/>
      <c r="E26" s="37"/>
      <c r="F26" s="37"/>
      <c r="G26" s="37"/>
      <c r="H26" s="37"/>
      <c r="I26" s="37"/>
      <c r="J26" s="38"/>
      <c r="K26" s="39"/>
      <c r="L26" s="4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35"/>
      <c r="B27" s="36"/>
      <c r="C27" s="36"/>
      <c r="D27" s="37"/>
      <c r="E27" s="37"/>
      <c r="F27" s="37"/>
      <c r="G27" s="37"/>
      <c r="H27" s="37"/>
      <c r="I27" s="37"/>
      <c r="J27" s="38"/>
      <c r="K27" s="39"/>
      <c r="L27" s="4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1"/>
      <c r="B28" s="42"/>
      <c r="C28" s="42"/>
      <c r="D28" s="43"/>
      <c r="E28" s="44"/>
      <c r="F28" s="44"/>
      <c r="G28" s="44"/>
      <c r="H28" s="44"/>
      <c r="I28" s="44"/>
      <c r="J28" s="45"/>
      <c r="K28" s="46"/>
      <c r="L28" s="4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36"/>
      <c r="B29" s="36"/>
      <c r="C29" s="36"/>
      <c r="D29" s="36"/>
      <c r="E29" s="36"/>
      <c r="F29" s="36"/>
      <c r="G29" s="36"/>
      <c r="H29" s="36"/>
      <c r="I29" s="36"/>
      <c r="J29" s="40"/>
      <c r="K29" s="40"/>
      <c r="L29" s="40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36"/>
      <c r="B30" s="36"/>
      <c r="C30" s="36"/>
      <c r="D30" s="36"/>
      <c r="E30" s="36"/>
      <c r="F30" s="36"/>
      <c r="G30" s="36"/>
      <c r="H30" s="36"/>
      <c r="I30" s="36"/>
      <c r="J30" s="40"/>
      <c r="K30" s="40"/>
      <c r="L30" s="4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36"/>
      <c r="B31" s="36"/>
      <c r="C31" s="36"/>
      <c r="D31" s="36"/>
      <c r="E31" s="36"/>
      <c r="F31" s="36"/>
      <c r="G31" s="36"/>
      <c r="H31" s="36"/>
      <c r="I31" s="36"/>
      <c r="J31" s="40"/>
      <c r="K31" s="40"/>
      <c r="L31" s="40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36"/>
      <c r="B32" s="36"/>
      <c r="C32" s="36"/>
      <c r="D32" s="36"/>
      <c r="E32" s="36"/>
      <c r="F32" s="36"/>
      <c r="G32" s="36"/>
      <c r="H32" s="36"/>
      <c r="I32" s="36"/>
      <c r="J32" s="40"/>
      <c r="K32" s="40"/>
      <c r="L32" s="4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36"/>
      <c r="B33" s="36"/>
      <c r="C33" s="36"/>
      <c r="D33" s="36"/>
      <c r="E33" s="36"/>
      <c r="F33" s="36"/>
      <c r="G33" s="36"/>
      <c r="H33" s="36"/>
      <c r="I33" s="36"/>
      <c r="J33" s="40"/>
      <c r="K33" s="40"/>
      <c r="L33" s="40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36"/>
      <c r="B34" s="36"/>
      <c r="C34" s="36"/>
      <c r="D34" s="36"/>
      <c r="E34" s="36"/>
      <c r="F34" s="36"/>
      <c r="G34" s="36"/>
      <c r="H34" s="36"/>
      <c r="I34" s="36"/>
      <c r="J34" s="40"/>
      <c r="K34" s="40"/>
      <c r="L34" s="40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36"/>
      <c r="B35" s="36"/>
      <c r="C35" s="36"/>
      <c r="D35" s="36"/>
      <c r="E35" s="36"/>
      <c r="F35" s="36"/>
      <c r="G35" s="36"/>
      <c r="H35" s="36"/>
      <c r="I35" s="36"/>
      <c r="J35" s="40"/>
      <c r="K35" s="40"/>
      <c r="L35" s="4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2626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46297.0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20">
        <v>0.0</v>
      </c>
      <c r="K5" s="21">
        <v>0.0</v>
      </c>
      <c r="L5" s="22" t="s">
        <v>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20">
        <v>0.0</v>
      </c>
      <c r="K6" s="21">
        <v>0.0</v>
      </c>
      <c r="L6" s="22" t="s">
        <v>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20">
        <v>0.0</v>
      </c>
      <c r="K7" s="21">
        <v>0.0</v>
      </c>
      <c r="L7" s="22" t="s">
        <v>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20">
        <v>0.0</v>
      </c>
      <c r="K8" s="21">
        <v>0.0</v>
      </c>
      <c r="L8" s="22" t="s">
        <v>20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20">
        <v>0.0</v>
      </c>
      <c r="K9" s="21">
        <v>0.0</v>
      </c>
      <c r="L9" s="22" t="s">
        <v>20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20">
        <v>0.0</v>
      </c>
      <c r="K10" s="21">
        <v>0.0</v>
      </c>
      <c r="L10" s="22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20">
        <v>0.0</v>
      </c>
      <c r="K11" s="21">
        <v>0.0</v>
      </c>
      <c r="L11" s="22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20">
        <v>0.0</v>
      </c>
      <c r="K12" s="21">
        <v>0.0</v>
      </c>
      <c r="L12" s="22" t="s">
        <v>20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20">
        <v>0.0</v>
      </c>
      <c r="K13" s="21">
        <v>0.0</v>
      </c>
      <c r="L13" s="22" t="s">
        <v>20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20">
        <v>0.0</v>
      </c>
      <c r="K14" s="21">
        <v>0.0</v>
      </c>
      <c r="L14" s="22" t="s">
        <v>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20">
        <v>0.0</v>
      </c>
      <c r="K15" s="21">
        <v>0.0</v>
      </c>
      <c r="L15" s="22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20">
        <v>0.0</v>
      </c>
      <c r="K16" s="21">
        <v>0.0</v>
      </c>
      <c r="L16" s="22" t="s">
        <v>20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6">
        <v>0.0</v>
      </c>
      <c r="K17" s="27">
        <v>0.0</v>
      </c>
      <c r="L17" s="28" t="s">
        <v>20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46298.0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0.04</v>
      </c>
      <c r="H6" s="19"/>
      <c r="I6" s="19">
        <f t="shared" si="1"/>
        <v>0.04</v>
      </c>
      <c r="J6" s="20">
        <f t="shared" si="2"/>
        <v>0.01</v>
      </c>
      <c r="K6" s="21">
        <f t="shared" si="3"/>
        <v>1.333333333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0.04</v>
      </c>
      <c r="H7" s="19"/>
      <c r="I7" s="19">
        <f t="shared" si="1"/>
        <v>0.04</v>
      </c>
      <c r="J7" s="20">
        <f t="shared" si="2"/>
        <v>-0.01</v>
      </c>
      <c r="K7" s="21">
        <f t="shared" si="3"/>
        <v>0.8</v>
      </c>
      <c r="L7" s="22" t="str">
        <f t="shared" si="4"/>
        <v>Needs Pacing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0.05</v>
      </c>
      <c r="H9" s="19"/>
      <c r="I9" s="19">
        <f t="shared" si="1"/>
        <v>0.05</v>
      </c>
      <c r="J9" s="20">
        <f t="shared" si="2"/>
        <v>-0.02</v>
      </c>
      <c r="K9" s="21">
        <f t="shared" si="3"/>
        <v>0.7142857143</v>
      </c>
      <c r="L9" s="22" t="str">
        <f t="shared" si="4"/>
        <v>Needs Pacing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0.04</v>
      </c>
      <c r="H11" s="19"/>
      <c r="I11" s="19">
        <f t="shared" si="1"/>
        <v>0.04</v>
      </c>
      <c r="J11" s="20">
        <f t="shared" si="2"/>
        <v>-0.01</v>
      </c>
      <c r="K11" s="21">
        <f t="shared" si="3"/>
        <v>0.8</v>
      </c>
      <c r="L11" s="22" t="str">
        <f t="shared" si="4"/>
        <v>Needs Pacing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0.07</v>
      </c>
      <c r="H13" s="19"/>
      <c r="I13" s="19">
        <f t="shared" si="1"/>
        <v>0.07</v>
      </c>
      <c r="J13" s="20">
        <f t="shared" si="2"/>
        <v>-0.01</v>
      </c>
      <c r="K13" s="21">
        <f t="shared" si="3"/>
        <v>0.875</v>
      </c>
      <c r="L13" s="22" t="str">
        <f t="shared" si="4"/>
        <v>Needs Pacing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>
        <v>0.06</v>
      </c>
      <c r="H16" s="19"/>
      <c r="I16" s="19">
        <f t="shared" si="1"/>
        <v>0.06</v>
      </c>
      <c r="J16" s="20">
        <f t="shared" si="2"/>
        <v>-0.01</v>
      </c>
      <c r="K16" s="21">
        <f t="shared" si="3"/>
        <v>0.8571428571</v>
      </c>
      <c r="L16" s="22" t="str">
        <f t="shared" si="4"/>
        <v>Needs Pacing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</v>
      </c>
      <c r="H17" s="25" t="str">
        <f t="shared" si="5"/>
        <v/>
      </c>
      <c r="I17" s="25">
        <f t="shared" si="5"/>
        <v>0.3</v>
      </c>
      <c r="J17" s="26">
        <f t="shared" si="2"/>
        <v>-0.29</v>
      </c>
      <c r="K17" s="27">
        <f t="shared" si="3"/>
        <v>0.5084745763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46299.0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0.04</v>
      </c>
      <c r="H5" s="19"/>
      <c r="I5" s="19">
        <f t="shared" ref="I5:I16" si="1">IF(AND(G5="",H5=""),"",SUM(G5:H5))</f>
        <v>0.04</v>
      </c>
      <c r="J5" s="20">
        <f t="shared" ref="J5:J17" si="2">IF(I5="","",I5-(E5+N(F5)))</f>
        <v>-0.01</v>
      </c>
      <c r="K5" s="21">
        <f t="shared" ref="K5:K17" si="3">IF(I5="","",IFERROR(I5/(E5+N(F5)),0))</f>
        <v>0.8</v>
      </c>
      <c r="L5" s="22" t="str">
        <f t="shared" ref="L5:L16" si="4">IF(I5="","",IF(K5&gt;=1.01,"Top Performer",IF(K5&gt;=1,"Achieved",IF(K5&gt;=0.98,"Near Target","Needs Pacing"))))</f>
        <v>Needs Pacing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0.04</v>
      </c>
      <c r="H8" s="19"/>
      <c r="I8" s="19">
        <f t="shared" si="1"/>
        <v>0.04</v>
      </c>
      <c r="J8" s="20">
        <f t="shared" si="2"/>
        <v>0.01</v>
      </c>
      <c r="K8" s="21">
        <f t="shared" si="3"/>
        <v>1.333333333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0.04</v>
      </c>
      <c r="H10" s="19"/>
      <c r="I10" s="19">
        <f t="shared" si="1"/>
        <v>0.04</v>
      </c>
      <c r="J10" s="20">
        <f t="shared" si="2"/>
        <v>0.01</v>
      </c>
      <c r="K10" s="21">
        <f t="shared" si="3"/>
        <v>1.333333333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0.04</v>
      </c>
      <c r="H12" s="19"/>
      <c r="I12" s="19">
        <f t="shared" si="1"/>
        <v>0.04</v>
      </c>
      <c r="J12" s="20">
        <f t="shared" si="2"/>
        <v>0.01</v>
      </c>
      <c r="K12" s="21">
        <f t="shared" si="3"/>
        <v>1.333333333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0.09</v>
      </c>
      <c r="H14" s="19"/>
      <c r="I14" s="19">
        <f t="shared" si="1"/>
        <v>0.09</v>
      </c>
      <c r="J14" s="20">
        <f t="shared" si="2"/>
        <v>0.04</v>
      </c>
      <c r="K14" s="21">
        <f t="shared" si="3"/>
        <v>1.8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0.08</v>
      </c>
      <c r="H15" s="19"/>
      <c r="I15" s="19">
        <f t="shared" si="1"/>
        <v>0.08</v>
      </c>
      <c r="J15" s="20">
        <f t="shared" si="2"/>
        <v>0.03</v>
      </c>
      <c r="K15" s="21">
        <f t="shared" si="3"/>
        <v>1.6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0.33</v>
      </c>
      <c r="H17" s="25" t="str">
        <f t="shared" si="5"/>
        <v/>
      </c>
      <c r="I17" s="25">
        <f t="shared" si="5"/>
        <v>0.33</v>
      </c>
      <c r="J17" s="26">
        <f t="shared" si="2"/>
        <v>-0.26</v>
      </c>
      <c r="K17" s="27">
        <f t="shared" si="3"/>
        <v>0.5593220339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46300.0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0.04</v>
      </c>
      <c r="H6" s="19"/>
      <c r="I6" s="19">
        <f t="shared" si="1"/>
        <v>0.04</v>
      </c>
      <c r="J6" s="20">
        <f t="shared" si="2"/>
        <v>0.01</v>
      </c>
      <c r="K6" s="21">
        <f t="shared" si="3"/>
        <v>1.333333333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0.06</v>
      </c>
      <c r="H7" s="19"/>
      <c r="I7" s="19">
        <f t="shared" si="1"/>
        <v>0.06</v>
      </c>
      <c r="J7" s="20">
        <f t="shared" si="2"/>
        <v>0.01</v>
      </c>
      <c r="K7" s="21">
        <f t="shared" si="3"/>
        <v>1.2</v>
      </c>
      <c r="L7" s="22" t="str">
        <f t="shared" si="4"/>
        <v>Top Performer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0.08</v>
      </c>
      <c r="H9" s="19"/>
      <c r="I9" s="19">
        <f t="shared" si="1"/>
        <v>0.08</v>
      </c>
      <c r="J9" s="20">
        <f t="shared" si="2"/>
        <v>0.01</v>
      </c>
      <c r="K9" s="21">
        <f t="shared" si="3"/>
        <v>1.142857143</v>
      </c>
      <c r="L9" s="22" t="str">
        <f t="shared" si="4"/>
        <v>Top Performer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0.04</v>
      </c>
      <c r="H11" s="19"/>
      <c r="I11" s="19">
        <f t="shared" si="1"/>
        <v>0.04</v>
      </c>
      <c r="J11" s="20">
        <f t="shared" si="2"/>
        <v>-0.01</v>
      </c>
      <c r="K11" s="21">
        <f t="shared" si="3"/>
        <v>0.8</v>
      </c>
      <c r="L11" s="22" t="str">
        <f t="shared" si="4"/>
        <v>Needs Pacing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0.09</v>
      </c>
      <c r="H13" s="19"/>
      <c r="I13" s="19">
        <f t="shared" si="1"/>
        <v>0.09</v>
      </c>
      <c r="J13" s="20">
        <f t="shared" si="2"/>
        <v>0.01</v>
      </c>
      <c r="K13" s="21">
        <f t="shared" si="3"/>
        <v>1.125</v>
      </c>
      <c r="L13" s="22" t="str">
        <f t="shared" si="4"/>
        <v>Top Performer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>
        <v>0.08</v>
      </c>
      <c r="H16" s="19"/>
      <c r="I16" s="19">
        <f t="shared" si="1"/>
        <v>0.08</v>
      </c>
      <c r="J16" s="20">
        <f t="shared" si="2"/>
        <v>0.01</v>
      </c>
      <c r="K16" s="21">
        <f t="shared" si="3"/>
        <v>1.142857143</v>
      </c>
      <c r="L16" s="22" t="str">
        <f t="shared" si="4"/>
        <v>Top Performer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0.39</v>
      </c>
      <c r="H17" s="25" t="str">
        <f t="shared" si="5"/>
        <v/>
      </c>
      <c r="I17" s="25">
        <f t="shared" si="5"/>
        <v>0.39</v>
      </c>
      <c r="J17" s="26">
        <f t="shared" si="2"/>
        <v>-0.2</v>
      </c>
      <c r="K17" s="27">
        <f t="shared" si="3"/>
        <v>0.6610169492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46301.0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0.03</v>
      </c>
      <c r="H5" s="19"/>
      <c r="I5" s="19">
        <f t="shared" ref="I5:I16" si="1">IF(AND(G5="",H5=""),"",SUM(G5:H5))</f>
        <v>0.03</v>
      </c>
      <c r="J5" s="20">
        <f t="shared" ref="J5:J17" si="2">IF(I5="","",I5-(E5+N(F5)))</f>
        <v>-0.02</v>
      </c>
      <c r="K5" s="21">
        <f t="shared" ref="K5:K17" si="3">IF(I5="","",IFERROR(I5/(E5+N(F5)),0))</f>
        <v>0.6</v>
      </c>
      <c r="L5" s="22" t="str">
        <f t="shared" ref="L5:L16" si="4">IF(I5="","",IF(K5&gt;=1.01,"Top Performer",IF(K5&gt;=1,"Achieved",IF(K5&gt;=0.98,"Near Target","Needs Pacing"))))</f>
        <v>Needs Pacing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0.05</v>
      </c>
      <c r="H8" s="19"/>
      <c r="I8" s="19">
        <f t="shared" si="1"/>
        <v>0.05</v>
      </c>
      <c r="J8" s="20">
        <f t="shared" si="2"/>
        <v>0.02</v>
      </c>
      <c r="K8" s="21">
        <f t="shared" si="3"/>
        <v>1.666666667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0.15</v>
      </c>
      <c r="H10" s="19"/>
      <c r="I10" s="19">
        <f t="shared" si="1"/>
        <v>0.15</v>
      </c>
      <c r="J10" s="20">
        <f t="shared" si="2"/>
        <v>0.12</v>
      </c>
      <c r="K10" s="21">
        <f t="shared" si="3"/>
        <v>5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0.03</v>
      </c>
      <c r="H12" s="19"/>
      <c r="I12" s="19">
        <f t="shared" si="1"/>
        <v>0.03</v>
      </c>
      <c r="J12" s="20">
        <f t="shared" si="2"/>
        <v>0</v>
      </c>
      <c r="K12" s="21">
        <f t="shared" si="3"/>
        <v>1</v>
      </c>
      <c r="L12" s="22" t="str">
        <f t="shared" si="4"/>
        <v>Achieved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0.08</v>
      </c>
      <c r="H14" s="19"/>
      <c r="I14" s="19">
        <f t="shared" si="1"/>
        <v>0.08</v>
      </c>
      <c r="J14" s="20">
        <f t="shared" si="2"/>
        <v>0.03</v>
      </c>
      <c r="K14" s="21">
        <f t="shared" si="3"/>
        <v>1.6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0.06</v>
      </c>
      <c r="H15" s="19"/>
      <c r="I15" s="19">
        <f t="shared" si="1"/>
        <v>0.06</v>
      </c>
      <c r="J15" s="20">
        <f t="shared" si="2"/>
        <v>0.01</v>
      </c>
      <c r="K15" s="21">
        <f t="shared" si="3"/>
        <v>1.2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0.4</v>
      </c>
      <c r="H17" s="25" t="str">
        <f t="shared" si="5"/>
        <v/>
      </c>
      <c r="I17" s="25">
        <f t="shared" si="5"/>
        <v>0.4</v>
      </c>
      <c r="J17" s="26">
        <f t="shared" si="2"/>
        <v>-0.19</v>
      </c>
      <c r="K17" s="27">
        <f t="shared" si="3"/>
        <v>0.6779661017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46302.0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0.04</v>
      </c>
      <c r="H6" s="19"/>
      <c r="I6" s="19">
        <f t="shared" si="1"/>
        <v>0.04</v>
      </c>
      <c r="J6" s="20">
        <f t="shared" si="2"/>
        <v>0.01</v>
      </c>
      <c r="K6" s="21">
        <f t="shared" si="3"/>
        <v>1.333333333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0.04</v>
      </c>
      <c r="H7" s="19"/>
      <c r="I7" s="19">
        <f t="shared" si="1"/>
        <v>0.04</v>
      </c>
      <c r="J7" s="20">
        <f t="shared" si="2"/>
        <v>-0.01</v>
      </c>
      <c r="K7" s="21">
        <f t="shared" si="3"/>
        <v>0.8</v>
      </c>
      <c r="L7" s="22" t="str">
        <f t="shared" si="4"/>
        <v>Needs Pacing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0.07</v>
      </c>
      <c r="H9" s="19"/>
      <c r="I9" s="19">
        <f t="shared" si="1"/>
        <v>0.07</v>
      </c>
      <c r="J9" s="20">
        <f t="shared" si="2"/>
        <v>0</v>
      </c>
      <c r="K9" s="21">
        <f t="shared" si="3"/>
        <v>1</v>
      </c>
      <c r="L9" s="22" t="str">
        <f t="shared" si="4"/>
        <v>Achieved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0.04</v>
      </c>
      <c r="H11" s="19"/>
      <c r="I11" s="19">
        <f t="shared" si="1"/>
        <v>0.04</v>
      </c>
      <c r="J11" s="20">
        <f t="shared" si="2"/>
        <v>-0.01</v>
      </c>
      <c r="K11" s="21">
        <f t="shared" si="3"/>
        <v>0.8</v>
      </c>
      <c r="L11" s="22" t="str">
        <f t="shared" si="4"/>
        <v>Needs Pacing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0.11</v>
      </c>
      <c r="H13" s="19"/>
      <c r="I13" s="19">
        <f t="shared" si="1"/>
        <v>0.11</v>
      </c>
      <c r="J13" s="20">
        <f t="shared" si="2"/>
        <v>0.03</v>
      </c>
      <c r="K13" s="21">
        <f t="shared" si="3"/>
        <v>1.375</v>
      </c>
      <c r="L13" s="22" t="str">
        <f t="shared" si="4"/>
        <v>Top Performer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>
        <v>0.08</v>
      </c>
      <c r="H16" s="19"/>
      <c r="I16" s="19">
        <f t="shared" si="1"/>
        <v>0.08</v>
      </c>
      <c r="J16" s="20">
        <f t="shared" si="2"/>
        <v>0.01</v>
      </c>
      <c r="K16" s="21">
        <f t="shared" si="3"/>
        <v>1.142857143</v>
      </c>
      <c r="L16" s="22" t="str">
        <f t="shared" si="4"/>
        <v>Top Performer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0.38</v>
      </c>
      <c r="H17" s="25" t="str">
        <f t="shared" si="5"/>
        <v/>
      </c>
      <c r="I17" s="25">
        <f t="shared" si="5"/>
        <v>0.38</v>
      </c>
      <c r="J17" s="26">
        <f t="shared" si="2"/>
        <v>-0.21</v>
      </c>
      <c r="K17" s="27">
        <f t="shared" si="3"/>
        <v>0.6440677966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75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I2" s="9" t="s">
        <v>6</v>
      </c>
      <c r="J2" s="3"/>
      <c r="K2" s="10">
        <v>46303.0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0.05</v>
      </c>
      <c r="H5" s="19"/>
      <c r="I5" s="19">
        <f t="shared" ref="I5:I16" si="1">IF(AND(G5="",H5=""),"",SUM(G5:H5))</f>
        <v>0.05</v>
      </c>
      <c r="J5" s="20">
        <f t="shared" ref="J5:J17" si="2">IF(I5="","",I5-(E5+N(F5)))</f>
        <v>0</v>
      </c>
      <c r="K5" s="21">
        <f t="shared" ref="K5:K17" si="3">IF(I5="","",IFERROR(I5/(E5+N(F5)),0))</f>
        <v>1</v>
      </c>
      <c r="L5" s="22" t="str">
        <f t="shared" ref="L5:L16" si="4">IF(I5="","",IF(K5&gt;=1.01,"Top Performer",IF(K5&gt;=1,"Achieved",IF(K5&gt;=0.98,"Near Target","Needs Pacing"))))</f>
        <v>Achieved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0.04</v>
      </c>
      <c r="H8" s="19"/>
      <c r="I8" s="19">
        <f t="shared" si="1"/>
        <v>0.04</v>
      </c>
      <c r="J8" s="20">
        <f t="shared" si="2"/>
        <v>0.01</v>
      </c>
      <c r="K8" s="21">
        <f t="shared" si="3"/>
        <v>1.333333333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0.04</v>
      </c>
      <c r="H10" s="19"/>
      <c r="I10" s="19">
        <f t="shared" si="1"/>
        <v>0.04</v>
      </c>
      <c r="J10" s="20">
        <f t="shared" si="2"/>
        <v>0.01</v>
      </c>
      <c r="K10" s="21">
        <f t="shared" si="3"/>
        <v>1.333333333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0.07</v>
      </c>
      <c r="H12" s="19"/>
      <c r="I12" s="19">
        <f t="shared" si="1"/>
        <v>0.07</v>
      </c>
      <c r="J12" s="20">
        <f t="shared" si="2"/>
        <v>0.04</v>
      </c>
      <c r="K12" s="21">
        <f t="shared" si="3"/>
        <v>2.333333333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0.16</v>
      </c>
      <c r="H14" s="19"/>
      <c r="I14" s="19">
        <f t="shared" si="1"/>
        <v>0.16</v>
      </c>
      <c r="J14" s="20">
        <f t="shared" si="2"/>
        <v>0.11</v>
      </c>
      <c r="K14" s="21">
        <f t="shared" si="3"/>
        <v>3.2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0.06</v>
      </c>
      <c r="H15" s="19"/>
      <c r="I15" s="19">
        <f t="shared" si="1"/>
        <v>0.06</v>
      </c>
      <c r="J15" s="20">
        <f t="shared" si="2"/>
        <v>0.01</v>
      </c>
      <c r="K15" s="21">
        <f t="shared" si="3"/>
        <v>1.2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0.42</v>
      </c>
      <c r="H17" s="25" t="str">
        <f t="shared" si="5"/>
        <v/>
      </c>
      <c r="I17" s="25">
        <f t="shared" si="5"/>
        <v>0.42</v>
      </c>
      <c r="J17" s="26">
        <f t="shared" si="2"/>
        <v>-0.17</v>
      </c>
      <c r="K17" s="27">
        <f t="shared" si="3"/>
        <v>0.7118644068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1:L1"/>
    <mergeCell ref="A3:A4"/>
    <mergeCell ref="B3:B4"/>
    <mergeCell ref="C3:C4"/>
    <mergeCell ref="D3:D4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2626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46304.0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20">
        <v>0.0</v>
      </c>
      <c r="K5" s="21">
        <v>0.0</v>
      </c>
      <c r="L5" s="22" t="s">
        <v>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20">
        <v>0.0</v>
      </c>
      <c r="K6" s="21">
        <v>0.0</v>
      </c>
      <c r="L6" s="22" t="s">
        <v>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20">
        <v>0.0</v>
      </c>
      <c r="K7" s="21">
        <v>0.0</v>
      </c>
      <c r="L7" s="22" t="s">
        <v>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20">
        <v>0.0</v>
      </c>
      <c r="K8" s="21">
        <v>0.0</v>
      </c>
      <c r="L8" s="22" t="s">
        <v>20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20">
        <v>0.0</v>
      </c>
      <c r="K9" s="21">
        <v>0.0</v>
      </c>
      <c r="L9" s="22" t="s">
        <v>20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20">
        <v>0.0</v>
      </c>
      <c r="K10" s="21">
        <v>0.0</v>
      </c>
      <c r="L10" s="22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20">
        <v>0.0</v>
      </c>
      <c r="K11" s="21">
        <v>0.0</v>
      </c>
      <c r="L11" s="22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20">
        <v>0.0</v>
      </c>
      <c r="K12" s="21">
        <v>0.0</v>
      </c>
      <c r="L12" s="22" t="s">
        <v>20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20">
        <v>0.0</v>
      </c>
      <c r="K13" s="21">
        <v>0.0</v>
      </c>
      <c r="L13" s="22" t="s">
        <v>20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20">
        <v>0.0</v>
      </c>
      <c r="K14" s="21">
        <v>0.0</v>
      </c>
      <c r="L14" s="22" t="s">
        <v>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20">
        <v>0.0</v>
      </c>
      <c r="K15" s="21">
        <v>0.0</v>
      </c>
      <c r="L15" s="22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20">
        <v>0.0</v>
      </c>
      <c r="K16" s="21">
        <v>0.0</v>
      </c>
      <c r="L16" s="22" t="s">
        <v>20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6">
        <v>0.0</v>
      </c>
      <c r="K17" s="27">
        <v>0.0</v>
      </c>
      <c r="L17" s="28" t="s">
        <v>20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46305.0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/>
      <c r="G6" s="19">
        <v>0.05</v>
      </c>
      <c r="H6" s="19"/>
      <c r="I6" s="19">
        <f t="shared" si="1"/>
        <v>0.05</v>
      </c>
      <c r="J6" s="20">
        <f t="shared" si="2"/>
        <v>0.02</v>
      </c>
      <c r="K6" s="21">
        <f t="shared" si="3"/>
        <v>1.666666667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/>
      <c r="G7" s="19">
        <v>0.07</v>
      </c>
      <c r="H7" s="19"/>
      <c r="I7" s="19">
        <f t="shared" si="1"/>
        <v>0.07</v>
      </c>
      <c r="J7" s="20">
        <f t="shared" si="2"/>
        <v>0.02</v>
      </c>
      <c r="K7" s="21">
        <f t="shared" si="3"/>
        <v>1.4</v>
      </c>
      <c r="L7" s="22" t="str">
        <f t="shared" si="4"/>
        <v>Top Performer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/>
      <c r="G9" s="19">
        <v>0.08</v>
      </c>
      <c r="H9" s="19"/>
      <c r="I9" s="19">
        <f t="shared" si="1"/>
        <v>0.08</v>
      </c>
      <c r="J9" s="20">
        <f t="shared" si="2"/>
        <v>0.01</v>
      </c>
      <c r="K9" s="21">
        <f t="shared" si="3"/>
        <v>1.142857143</v>
      </c>
      <c r="L9" s="22" t="str">
        <f t="shared" si="4"/>
        <v>Top Performer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/>
      <c r="G11" s="19">
        <v>0.05</v>
      </c>
      <c r="H11" s="19"/>
      <c r="I11" s="19">
        <f t="shared" si="1"/>
        <v>0.05</v>
      </c>
      <c r="J11" s="20">
        <f t="shared" si="2"/>
        <v>0</v>
      </c>
      <c r="K11" s="21">
        <f t="shared" si="3"/>
        <v>1</v>
      </c>
      <c r="L11" s="22" t="str">
        <f t="shared" si="4"/>
        <v>Achieved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/>
      <c r="G13" s="19">
        <v>0.1</v>
      </c>
      <c r="H13" s="19"/>
      <c r="I13" s="19">
        <f t="shared" si="1"/>
        <v>0.1</v>
      </c>
      <c r="J13" s="20">
        <f t="shared" si="2"/>
        <v>0.02</v>
      </c>
      <c r="K13" s="21">
        <f t="shared" si="3"/>
        <v>1.25</v>
      </c>
      <c r="L13" s="22" t="str">
        <f t="shared" si="4"/>
        <v>Top Performer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/>
      <c r="G16" s="19">
        <v>0.09</v>
      </c>
      <c r="H16" s="19"/>
      <c r="I16" s="19">
        <f t="shared" si="1"/>
        <v>0.09</v>
      </c>
      <c r="J16" s="20">
        <f t="shared" si="2"/>
        <v>0.02</v>
      </c>
      <c r="K16" s="21">
        <f t="shared" si="3"/>
        <v>1.285714286</v>
      </c>
      <c r="L16" s="22" t="str">
        <f t="shared" si="4"/>
        <v>Top Performer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0.44</v>
      </c>
      <c r="H17" s="25" t="str">
        <f t="shared" si="5"/>
        <v/>
      </c>
      <c r="I17" s="25">
        <f t="shared" si="5"/>
        <v>0.44</v>
      </c>
      <c r="J17" s="26">
        <f t="shared" si="2"/>
        <v>-0.15</v>
      </c>
      <c r="K17" s="27">
        <f t="shared" si="3"/>
        <v>0.7457627119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46306.0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0.05</v>
      </c>
      <c r="H5" s="19"/>
      <c r="I5" s="19">
        <f t="shared" ref="I5:I16" si="1">IF(AND(G5="",H5=""),"",SUM(G5:H5))</f>
        <v>0.05</v>
      </c>
      <c r="J5" s="20">
        <f t="shared" ref="J5:J17" si="2">IF(I5="","",I5-(E5+N(F5)))</f>
        <v>0</v>
      </c>
      <c r="K5" s="21">
        <f t="shared" ref="K5:K17" si="3">IF(I5="","",IFERROR(I5/(E5+N(F5)),0))</f>
        <v>1</v>
      </c>
      <c r="L5" s="22" t="str">
        <f t="shared" ref="L5:L16" si="4">IF(I5="","",IF(K5&gt;=1.01,"Top Performer",IF(K5&gt;=1,"Achieved",IF(K5&gt;=0.98,"Near Target","Needs Pacing"))))</f>
        <v>Achieved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0.05</v>
      </c>
      <c r="H8" s="19"/>
      <c r="I8" s="19">
        <f t="shared" si="1"/>
        <v>0.05</v>
      </c>
      <c r="J8" s="20">
        <f t="shared" si="2"/>
        <v>0.02</v>
      </c>
      <c r="K8" s="21">
        <f t="shared" si="3"/>
        <v>1.666666667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0.05</v>
      </c>
      <c r="H10" s="19"/>
      <c r="I10" s="19">
        <f t="shared" si="1"/>
        <v>0.05</v>
      </c>
      <c r="J10" s="20">
        <f t="shared" si="2"/>
        <v>0.02</v>
      </c>
      <c r="K10" s="21">
        <f t="shared" si="3"/>
        <v>1.666666667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0.05</v>
      </c>
      <c r="H12" s="19"/>
      <c r="I12" s="19">
        <f t="shared" si="1"/>
        <v>0.05</v>
      </c>
      <c r="J12" s="20">
        <f t="shared" si="2"/>
        <v>0.02</v>
      </c>
      <c r="K12" s="21">
        <f t="shared" si="3"/>
        <v>1.666666667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0.1</v>
      </c>
      <c r="H14" s="19"/>
      <c r="I14" s="19">
        <f t="shared" si="1"/>
        <v>0.1</v>
      </c>
      <c r="J14" s="20">
        <f t="shared" si="2"/>
        <v>0.05</v>
      </c>
      <c r="K14" s="21">
        <f t="shared" si="3"/>
        <v>2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0.08</v>
      </c>
      <c r="H15" s="19"/>
      <c r="I15" s="19">
        <f t="shared" si="1"/>
        <v>0.08</v>
      </c>
      <c r="J15" s="20">
        <f t="shared" si="2"/>
        <v>0.03</v>
      </c>
      <c r="K15" s="21">
        <f t="shared" si="3"/>
        <v>1.6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0.38</v>
      </c>
      <c r="H17" s="25" t="str">
        <f t="shared" si="5"/>
        <v/>
      </c>
      <c r="I17" s="25">
        <f t="shared" si="5"/>
        <v>0.38</v>
      </c>
      <c r="J17" s="26">
        <f t="shared" si="2"/>
        <v>-0.21</v>
      </c>
      <c r="K17" s="27">
        <f t="shared" si="3"/>
        <v>0.6440677966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46307.0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0.05</v>
      </c>
      <c r="H6" s="19"/>
      <c r="I6" s="19">
        <f t="shared" si="1"/>
        <v>0.05</v>
      </c>
      <c r="J6" s="20">
        <f t="shared" si="2"/>
        <v>0.02</v>
      </c>
      <c r="K6" s="21">
        <f t="shared" si="3"/>
        <v>1.666666667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0.14</v>
      </c>
      <c r="H7" s="19"/>
      <c r="I7" s="19">
        <f t="shared" si="1"/>
        <v>0.14</v>
      </c>
      <c r="J7" s="20">
        <f t="shared" si="2"/>
        <v>0.09</v>
      </c>
      <c r="K7" s="21">
        <f t="shared" si="3"/>
        <v>2.8</v>
      </c>
      <c r="L7" s="22" t="str">
        <f t="shared" si="4"/>
        <v>Top Performer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0.13</v>
      </c>
      <c r="H9" s="19"/>
      <c r="I9" s="19">
        <f t="shared" si="1"/>
        <v>0.13</v>
      </c>
      <c r="J9" s="20">
        <f t="shared" si="2"/>
        <v>0.06</v>
      </c>
      <c r="K9" s="21">
        <f t="shared" si="3"/>
        <v>1.857142857</v>
      </c>
      <c r="L9" s="22" t="str">
        <f t="shared" si="4"/>
        <v>Top Performer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0.04</v>
      </c>
      <c r="H11" s="19"/>
      <c r="I11" s="19">
        <f t="shared" si="1"/>
        <v>0.04</v>
      </c>
      <c r="J11" s="20">
        <f t="shared" si="2"/>
        <v>-0.01</v>
      </c>
      <c r="K11" s="21">
        <f t="shared" si="3"/>
        <v>0.8</v>
      </c>
      <c r="L11" s="22" t="str">
        <f t="shared" si="4"/>
        <v>Needs Pacing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0.07</v>
      </c>
      <c r="H13" s="19"/>
      <c r="I13" s="19">
        <f t="shared" si="1"/>
        <v>0.07</v>
      </c>
      <c r="J13" s="20">
        <f t="shared" si="2"/>
        <v>-0.01</v>
      </c>
      <c r="K13" s="21">
        <f t="shared" si="3"/>
        <v>0.875</v>
      </c>
      <c r="L13" s="22" t="str">
        <f t="shared" si="4"/>
        <v>Needs Pacing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>
        <v>0.21</v>
      </c>
      <c r="H16" s="19"/>
      <c r="I16" s="19">
        <f t="shared" si="1"/>
        <v>0.21</v>
      </c>
      <c r="J16" s="20">
        <f t="shared" si="2"/>
        <v>0.14</v>
      </c>
      <c r="K16" s="21">
        <f t="shared" si="3"/>
        <v>3</v>
      </c>
      <c r="L16" s="22" t="str">
        <f t="shared" si="4"/>
        <v>Top Performer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0.64</v>
      </c>
      <c r="H17" s="25" t="str">
        <f t="shared" si="5"/>
        <v/>
      </c>
      <c r="I17" s="25">
        <f t="shared" si="5"/>
        <v>0.64</v>
      </c>
      <c r="J17" s="26">
        <f t="shared" si="2"/>
        <v>0.05</v>
      </c>
      <c r="K17" s="27">
        <f t="shared" si="3"/>
        <v>1.084745763</v>
      </c>
      <c r="L17" s="28" t="str">
        <f>IF(I17="","",IF(K17&gt;=1,"Achieved","Shortfall"))</f>
        <v>Achieved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46308.0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0.06</v>
      </c>
      <c r="H5" s="19"/>
      <c r="I5" s="19">
        <f t="shared" ref="I5:I16" si="1">IF(AND(G5="",H5=""),"",SUM(G5:H5))</f>
        <v>0.06</v>
      </c>
      <c r="J5" s="20">
        <f t="shared" ref="J5:J17" si="2">IF(I5="","",I5-(E5+N(F5)))</f>
        <v>0.01</v>
      </c>
      <c r="K5" s="21">
        <f t="shared" ref="K5:K17" si="3">IF(I5="","",IFERROR(I5/(E5+N(F5)),0))</f>
        <v>1.2</v>
      </c>
      <c r="L5" s="22" t="str">
        <f t="shared" ref="L5:L16" si="4">IF(I5="","",IF(K5&gt;=1.01,"Top Performer",IF(K5&gt;=1,"Achieved",IF(K5&gt;=0.98,"Near Target","Needs Pacing"))))</f>
        <v>Top Performer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0.04</v>
      </c>
      <c r="H8" s="19"/>
      <c r="I8" s="19">
        <f t="shared" si="1"/>
        <v>0.04</v>
      </c>
      <c r="J8" s="20">
        <f t="shared" si="2"/>
        <v>0.01</v>
      </c>
      <c r="K8" s="21">
        <f t="shared" si="3"/>
        <v>1.333333333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0.23</v>
      </c>
      <c r="H10" s="19"/>
      <c r="I10" s="19">
        <f t="shared" si="1"/>
        <v>0.23</v>
      </c>
      <c r="J10" s="20">
        <f t="shared" si="2"/>
        <v>0.2</v>
      </c>
      <c r="K10" s="21">
        <f t="shared" si="3"/>
        <v>7.666666667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0.05</v>
      </c>
      <c r="H12" s="19"/>
      <c r="I12" s="19">
        <f t="shared" si="1"/>
        <v>0.05</v>
      </c>
      <c r="J12" s="20">
        <f t="shared" si="2"/>
        <v>0.02</v>
      </c>
      <c r="K12" s="21">
        <f t="shared" si="3"/>
        <v>1.666666667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0.08</v>
      </c>
      <c r="H14" s="19"/>
      <c r="I14" s="19">
        <f t="shared" si="1"/>
        <v>0.08</v>
      </c>
      <c r="J14" s="20">
        <f t="shared" si="2"/>
        <v>0.03</v>
      </c>
      <c r="K14" s="21">
        <f t="shared" si="3"/>
        <v>1.6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0.08</v>
      </c>
      <c r="H15" s="19"/>
      <c r="I15" s="19">
        <f t="shared" si="1"/>
        <v>0.08</v>
      </c>
      <c r="J15" s="20">
        <f t="shared" si="2"/>
        <v>0.03</v>
      </c>
      <c r="K15" s="21">
        <f t="shared" si="3"/>
        <v>1.6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0.54</v>
      </c>
      <c r="H17" s="25" t="str">
        <f t="shared" si="5"/>
        <v/>
      </c>
      <c r="I17" s="25">
        <f t="shared" si="5"/>
        <v>0.54</v>
      </c>
      <c r="J17" s="26">
        <f t="shared" si="2"/>
        <v>-0.05</v>
      </c>
      <c r="K17" s="27">
        <f t="shared" si="3"/>
        <v>0.9152542373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46309.0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0.06</v>
      </c>
      <c r="H6" s="19"/>
      <c r="I6" s="19">
        <f t="shared" si="1"/>
        <v>0.06</v>
      </c>
      <c r="J6" s="20">
        <f t="shared" si="2"/>
        <v>0.03</v>
      </c>
      <c r="K6" s="21">
        <f t="shared" si="3"/>
        <v>2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0.05</v>
      </c>
      <c r="H7" s="19"/>
      <c r="I7" s="19">
        <f t="shared" si="1"/>
        <v>0.05</v>
      </c>
      <c r="J7" s="20">
        <f t="shared" si="2"/>
        <v>0</v>
      </c>
      <c r="K7" s="21">
        <f t="shared" si="3"/>
        <v>1</v>
      </c>
      <c r="L7" s="22" t="str">
        <f t="shared" si="4"/>
        <v>Achieved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0.06</v>
      </c>
      <c r="H9" s="19"/>
      <c r="I9" s="19">
        <f t="shared" si="1"/>
        <v>0.06</v>
      </c>
      <c r="J9" s="20">
        <f t="shared" si="2"/>
        <v>-0.01</v>
      </c>
      <c r="K9" s="21">
        <f t="shared" si="3"/>
        <v>0.8571428571</v>
      </c>
      <c r="L9" s="22" t="str">
        <f t="shared" si="4"/>
        <v>Needs Pacing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0.04</v>
      </c>
      <c r="H11" s="19"/>
      <c r="I11" s="19">
        <f t="shared" si="1"/>
        <v>0.04</v>
      </c>
      <c r="J11" s="20">
        <f t="shared" si="2"/>
        <v>-0.01</v>
      </c>
      <c r="K11" s="21">
        <f t="shared" si="3"/>
        <v>0.8</v>
      </c>
      <c r="L11" s="22" t="str">
        <f t="shared" si="4"/>
        <v>Needs Pacing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0.07</v>
      </c>
      <c r="H13" s="19"/>
      <c r="I13" s="19">
        <f t="shared" si="1"/>
        <v>0.07</v>
      </c>
      <c r="J13" s="20">
        <f t="shared" si="2"/>
        <v>-0.01</v>
      </c>
      <c r="K13" s="21">
        <f t="shared" si="3"/>
        <v>0.875</v>
      </c>
      <c r="L13" s="22" t="str">
        <f t="shared" si="4"/>
        <v>Needs Pacing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0.07</v>
      </c>
      <c r="H15" s="19"/>
      <c r="I15" s="19">
        <f t="shared" si="1"/>
        <v>0.07</v>
      </c>
      <c r="J15" s="20">
        <f t="shared" si="2"/>
        <v>0.02</v>
      </c>
      <c r="K15" s="21">
        <f t="shared" si="3"/>
        <v>1.4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0.35</v>
      </c>
      <c r="H17" s="25" t="str">
        <f t="shared" si="5"/>
        <v/>
      </c>
      <c r="I17" s="25">
        <f t="shared" si="5"/>
        <v>0.35</v>
      </c>
      <c r="J17" s="26">
        <f t="shared" si="2"/>
        <v>-0.24</v>
      </c>
      <c r="K17" s="27">
        <f t="shared" si="3"/>
        <v>0.593220339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46310.0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0.06</v>
      </c>
      <c r="H5" s="19"/>
      <c r="I5" s="19">
        <f t="shared" ref="I5:I16" si="1">IF(AND(G5="",H5=""),"",SUM(G5:H5))</f>
        <v>0.06</v>
      </c>
      <c r="J5" s="20">
        <f t="shared" ref="J5:J17" si="2">IF(I5="","",I5-(E5+N(F5)))</f>
        <v>0.01</v>
      </c>
      <c r="K5" s="21">
        <f t="shared" ref="K5:K17" si="3">IF(I5="","",IFERROR(I5/(E5+N(F5)),0))</f>
        <v>1.2</v>
      </c>
      <c r="L5" s="22" t="str">
        <f t="shared" ref="L5:L16" si="4">IF(I5="","",IF(K5&gt;=1.01,"Top Performer",IF(K5&gt;=1,"Achieved",IF(K5&gt;=0.98,"Near Target","Needs Pacing"))))</f>
        <v>Top Performer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0.05</v>
      </c>
      <c r="H8" s="19"/>
      <c r="I8" s="19">
        <f t="shared" si="1"/>
        <v>0.05</v>
      </c>
      <c r="J8" s="20">
        <f t="shared" si="2"/>
        <v>0.02</v>
      </c>
      <c r="K8" s="21">
        <f t="shared" si="3"/>
        <v>1.666666667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0.06</v>
      </c>
      <c r="H10" s="19"/>
      <c r="I10" s="19">
        <f t="shared" si="1"/>
        <v>0.06</v>
      </c>
      <c r="J10" s="20">
        <f t="shared" si="2"/>
        <v>0.03</v>
      </c>
      <c r="K10" s="21">
        <f t="shared" si="3"/>
        <v>2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0.04</v>
      </c>
      <c r="H12" s="19"/>
      <c r="I12" s="19">
        <f t="shared" si="1"/>
        <v>0.04</v>
      </c>
      <c r="J12" s="20">
        <f t="shared" si="2"/>
        <v>0.01</v>
      </c>
      <c r="K12" s="21">
        <f t="shared" si="3"/>
        <v>1.333333333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0.07</v>
      </c>
      <c r="H14" s="19"/>
      <c r="I14" s="19">
        <f t="shared" si="1"/>
        <v>0.07</v>
      </c>
      <c r="J14" s="20">
        <f t="shared" si="2"/>
        <v>0.02</v>
      </c>
      <c r="K14" s="21">
        <f t="shared" si="3"/>
        <v>1.4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0.11</v>
      </c>
      <c r="H15" s="19"/>
      <c r="I15" s="19">
        <f t="shared" si="1"/>
        <v>0.11</v>
      </c>
      <c r="J15" s="20">
        <f t="shared" si="2"/>
        <v>0.06</v>
      </c>
      <c r="K15" s="21">
        <f t="shared" si="3"/>
        <v>2.2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0.39</v>
      </c>
      <c r="H17" s="25" t="str">
        <f t="shared" si="5"/>
        <v/>
      </c>
      <c r="I17" s="25">
        <f t="shared" si="5"/>
        <v>0.39</v>
      </c>
      <c r="J17" s="26">
        <f t="shared" si="2"/>
        <v>-0.2</v>
      </c>
      <c r="K17" s="27">
        <f t="shared" si="3"/>
        <v>0.6610169492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2626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46311.0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20">
        <v>0.0</v>
      </c>
      <c r="K5" s="21">
        <v>0.0</v>
      </c>
      <c r="L5" s="22" t="s">
        <v>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20">
        <v>0.0</v>
      </c>
      <c r="K6" s="21">
        <v>0.0</v>
      </c>
      <c r="L6" s="22" t="s">
        <v>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20">
        <v>0.0</v>
      </c>
      <c r="K7" s="21">
        <v>0.0</v>
      </c>
      <c r="L7" s="22" t="s">
        <v>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20">
        <v>0.0</v>
      </c>
      <c r="K8" s="21">
        <v>0.0</v>
      </c>
      <c r="L8" s="22" t="s">
        <v>20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20">
        <v>0.0</v>
      </c>
      <c r="K9" s="21">
        <v>0.0</v>
      </c>
      <c r="L9" s="22" t="s">
        <v>20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20">
        <v>0.0</v>
      </c>
      <c r="K10" s="21">
        <v>0.0</v>
      </c>
      <c r="L10" s="22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20">
        <v>0.0</v>
      </c>
      <c r="K11" s="21">
        <v>0.0</v>
      </c>
      <c r="L11" s="22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20">
        <v>0.0</v>
      </c>
      <c r="K12" s="21">
        <v>0.0</v>
      </c>
      <c r="L12" s="22" t="s">
        <v>20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20">
        <v>0.0</v>
      </c>
      <c r="K13" s="21">
        <v>0.0</v>
      </c>
      <c r="L13" s="22" t="s">
        <v>20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20">
        <v>0.0</v>
      </c>
      <c r="K14" s="21">
        <v>0.0</v>
      </c>
      <c r="L14" s="22" t="s">
        <v>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20">
        <v>0.0</v>
      </c>
      <c r="K15" s="21">
        <v>0.0</v>
      </c>
      <c r="L15" s="22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20">
        <v>0.0</v>
      </c>
      <c r="K16" s="21">
        <v>0.0</v>
      </c>
      <c r="L16" s="22" t="s">
        <v>20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6">
        <v>0.0</v>
      </c>
      <c r="K17" s="27">
        <v>0.0</v>
      </c>
      <c r="L17" s="28" t="s">
        <v>20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46312.0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0.04</v>
      </c>
      <c r="H6" s="19"/>
      <c r="I6" s="19">
        <f t="shared" si="1"/>
        <v>0.04</v>
      </c>
      <c r="J6" s="20">
        <f t="shared" si="2"/>
        <v>0.01</v>
      </c>
      <c r="K6" s="21">
        <f t="shared" si="3"/>
        <v>1.333333333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0.05</v>
      </c>
      <c r="H7" s="19"/>
      <c r="I7" s="19">
        <f t="shared" si="1"/>
        <v>0.05</v>
      </c>
      <c r="J7" s="20">
        <f t="shared" si="2"/>
        <v>0</v>
      </c>
      <c r="K7" s="21">
        <f t="shared" si="3"/>
        <v>1</v>
      </c>
      <c r="L7" s="22" t="str">
        <f t="shared" si="4"/>
        <v>Achieved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0.07</v>
      </c>
      <c r="H9" s="19"/>
      <c r="I9" s="19">
        <f t="shared" si="1"/>
        <v>0.07</v>
      </c>
      <c r="J9" s="20">
        <f t="shared" si="2"/>
        <v>0</v>
      </c>
      <c r="K9" s="21">
        <f t="shared" si="3"/>
        <v>1</v>
      </c>
      <c r="L9" s="22" t="str">
        <f t="shared" si="4"/>
        <v>Achieved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0.04</v>
      </c>
      <c r="H11" s="19"/>
      <c r="I11" s="19">
        <f t="shared" si="1"/>
        <v>0.04</v>
      </c>
      <c r="J11" s="20">
        <f t="shared" si="2"/>
        <v>-0.01</v>
      </c>
      <c r="K11" s="21">
        <f t="shared" si="3"/>
        <v>0.8</v>
      </c>
      <c r="L11" s="22" t="str">
        <f t="shared" si="4"/>
        <v>Needs Pacing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0.1</v>
      </c>
      <c r="H13" s="19"/>
      <c r="I13" s="19">
        <f t="shared" si="1"/>
        <v>0.1</v>
      </c>
      <c r="J13" s="20">
        <f t="shared" si="2"/>
        <v>0.02</v>
      </c>
      <c r="K13" s="21">
        <f t="shared" si="3"/>
        <v>1.25</v>
      </c>
      <c r="L13" s="22" t="str">
        <f t="shared" si="4"/>
        <v>Top Performer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>
        <v>0.11</v>
      </c>
      <c r="H16" s="19"/>
      <c r="I16" s="19">
        <f t="shared" si="1"/>
        <v>0.11</v>
      </c>
      <c r="J16" s="20">
        <f t="shared" si="2"/>
        <v>0.04</v>
      </c>
      <c r="K16" s="21">
        <f t="shared" si="3"/>
        <v>1.571428571</v>
      </c>
      <c r="L16" s="22" t="str">
        <f t="shared" si="4"/>
        <v>Top Performer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0.41</v>
      </c>
      <c r="H17" s="25" t="str">
        <f t="shared" si="5"/>
        <v/>
      </c>
      <c r="I17" s="25">
        <f t="shared" si="5"/>
        <v>0.41</v>
      </c>
      <c r="J17" s="26">
        <f t="shared" si="2"/>
        <v>-0.18</v>
      </c>
      <c r="K17" s="27">
        <f t="shared" si="3"/>
        <v>0.6949152542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25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46313.0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0.05</v>
      </c>
      <c r="H5" s="19"/>
      <c r="I5" s="19">
        <f t="shared" ref="I5:I16" si="1">IF(AND(G5="",H5=""),"",SUM(G5:H5))</f>
        <v>0.05</v>
      </c>
      <c r="J5" s="20">
        <f t="shared" ref="J5:J17" si="2">IF(I5="","",I5-(E5+N(F5)))</f>
        <v>0</v>
      </c>
      <c r="K5" s="21">
        <f t="shared" ref="K5:K17" si="3">IF(I5="","",IFERROR(I5/(E5+N(F5)),0))</f>
        <v>1</v>
      </c>
      <c r="L5" s="22" t="str">
        <f t="shared" ref="L5:L16" si="4">IF(I5="","",IF(K5&gt;=1.01,"Top Performer",IF(K5&gt;=1,"Achieved",IF(K5&gt;=0.98,"Near Target","Needs Pacing"))))</f>
        <v>Achieved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0.06</v>
      </c>
      <c r="H8" s="19"/>
      <c r="I8" s="19">
        <f t="shared" si="1"/>
        <v>0.06</v>
      </c>
      <c r="J8" s="20">
        <f t="shared" si="2"/>
        <v>0.03</v>
      </c>
      <c r="K8" s="21">
        <f t="shared" si="3"/>
        <v>2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0.07</v>
      </c>
      <c r="H10" s="19"/>
      <c r="I10" s="19">
        <f t="shared" si="1"/>
        <v>0.07</v>
      </c>
      <c r="J10" s="20">
        <f t="shared" si="2"/>
        <v>0.04</v>
      </c>
      <c r="K10" s="21">
        <f t="shared" si="3"/>
        <v>2.333333333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0.06</v>
      </c>
      <c r="H12" s="19"/>
      <c r="I12" s="19">
        <f t="shared" si="1"/>
        <v>0.06</v>
      </c>
      <c r="J12" s="20">
        <f t="shared" si="2"/>
        <v>0.03</v>
      </c>
      <c r="K12" s="21">
        <f t="shared" si="3"/>
        <v>2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0.09</v>
      </c>
      <c r="H14" s="19"/>
      <c r="I14" s="19">
        <f t="shared" si="1"/>
        <v>0.09</v>
      </c>
      <c r="J14" s="20">
        <f t="shared" si="2"/>
        <v>0.04</v>
      </c>
      <c r="K14" s="21">
        <f t="shared" si="3"/>
        <v>1.8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0.12</v>
      </c>
      <c r="H15" s="19"/>
      <c r="I15" s="19">
        <f t="shared" si="1"/>
        <v>0.12</v>
      </c>
      <c r="J15" s="20">
        <f t="shared" si="2"/>
        <v>0.07</v>
      </c>
      <c r="K15" s="21">
        <f t="shared" si="3"/>
        <v>2.4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0.45</v>
      </c>
      <c r="H17" s="25" t="str">
        <f t="shared" si="5"/>
        <v/>
      </c>
      <c r="I17" s="25">
        <f t="shared" si="5"/>
        <v>0.45</v>
      </c>
      <c r="J17" s="26">
        <f t="shared" si="2"/>
        <v>-0.14</v>
      </c>
      <c r="K17" s="27">
        <f t="shared" si="3"/>
        <v>0.7627118644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46314.0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4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0.06</v>
      </c>
      <c r="H6" s="19"/>
      <c r="I6" s="19">
        <f t="shared" si="1"/>
        <v>0.06</v>
      </c>
      <c r="J6" s="20">
        <f t="shared" si="2"/>
        <v>0.03</v>
      </c>
      <c r="K6" s="21">
        <f t="shared" si="3"/>
        <v>2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0.04</v>
      </c>
      <c r="H7" s="19"/>
      <c r="I7" s="19">
        <f t="shared" si="1"/>
        <v>0.04</v>
      </c>
      <c r="J7" s="20">
        <f t="shared" si="2"/>
        <v>-0.01</v>
      </c>
      <c r="K7" s="21">
        <f t="shared" si="3"/>
        <v>0.8</v>
      </c>
      <c r="L7" s="22" t="str">
        <f t="shared" si="4"/>
        <v>Needs Pacing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0.07</v>
      </c>
      <c r="H9" s="19"/>
      <c r="I9" s="19">
        <f t="shared" si="1"/>
        <v>0.07</v>
      </c>
      <c r="J9" s="20">
        <f t="shared" si="2"/>
        <v>0</v>
      </c>
      <c r="K9" s="21">
        <f t="shared" si="3"/>
        <v>1</v>
      </c>
      <c r="L9" s="22" t="str">
        <f t="shared" si="4"/>
        <v>Achieved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0.05</v>
      </c>
      <c r="H11" s="19"/>
      <c r="I11" s="19">
        <f t="shared" si="1"/>
        <v>0.05</v>
      </c>
      <c r="J11" s="20">
        <f t="shared" si="2"/>
        <v>0</v>
      </c>
      <c r="K11" s="21">
        <f t="shared" si="3"/>
        <v>1</v>
      </c>
      <c r="L11" s="22" t="str">
        <f t="shared" si="4"/>
        <v>Achieved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0.07</v>
      </c>
      <c r="H13" s="19"/>
      <c r="I13" s="19">
        <f t="shared" si="1"/>
        <v>0.07</v>
      </c>
      <c r="J13" s="20">
        <f t="shared" si="2"/>
        <v>-0.01</v>
      </c>
      <c r="K13" s="21">
        <f t="shared" si="3"/>
        <v>0.875</v>
      </c>
      <c r="L13" s="22" t="str">
        <f t="shared" si="4"/>
        <v>Needs Pacing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/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>
        <v>0.17</v>
      </c>
      <c r="H16" s="19"/>
      <c r="I16" s="19"/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0.46</v>
      </c>
      <c r="H17" s="25" t="str">
        <f t="shared" si="5"/>
        <v/>
      </c>
      <c r="I17" s="25">
        <f t="shared" si="5"/>
        <v>0.29</v>
      </c>
      <c r="J17" s="26">
        <f t="shared" si="2"/>
        <v>-0.3</v>
      </c>
      <c r="K17" s="27">
        <f t="shared" si="3"/>
        <v>0.4915254237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46315.0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0.17</v>
      </c>
      <c r="H5" s="19"/>
      <c r="I5" s="19">
        <f t="shared" ref="I5:I16" si="1">IF(AND(G5="",H5=""),"",SUM(G5:H5))</f>
        <v>0.17</v>
      </c>
      <c r="J5" s="20">
        <f t="shared" ref="J5:J17" si="2">IF(I5="","",I5-(E5+N(F5)))</f>
        <v>0.12</v>
      </c>
      <c r="K5" s="21">
        <f t="shared" ref="K5:K17" si="3">IF(I5="","",IFERROR(I5/(E5+N(F5)),0))</f>
        <v>3.4</v>
      </c>
      <c r="L5" s="22" t="str">
        <f t="shared" ref="L5:L16" si="4">IF(I5="","",IF(K5&gt;=1.01,"Top Performer",IF(K5&gt;=1,"Achieved",IF(K5&gt;=0.98,"Near Target","Needs Pacing"))))</f>
        <v>Top Performer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0.14</v>
      </c>
      <c r="H8" s="19"/>
      <c r="I8" s="19">
        <f t="shared" si="1"/>
        <v>0.14</v>
      </c>
      <c r="J8" s="20">
        <f t="shared" si="2"/>
        <v>0.11</v>
      </c>
      <c r="K8" s="21">
        <f t="shared" si="3"/>
        <v>4.666666667</v>
      </c>
      <c r="L8" s="22" t="str">
        <f t="shared" si="4"/>
        <v>Top Performer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0.07</v>
      </c>
      <c r="H10" s="19"/>
      <c r="I10" s="19">
        <f t="shared" si="1"/>
        <v>0.07</v>
      </c>
      <c r="J10" s="20">
        <f t="shared" si="2"/>
        <v>0.04</v>
      </c>
      <c r="K10" s="21">
        <f t="shared" si="3"/>
        <v>2.333333333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0.04</v>
      </c>
      <c r="H12" s="19"/>
      <c r="I12" s="19">
        <f t="shared" si="1"/>
        <v>0.04</v>
      </c>
      <c r="J12" s="20">
        <f t="shared" si="2"/>
        <v>0.01</v>
      </c>
      <c r="K12" s="21">
        <f t="shared" si="3"/>
        <v>1.333333333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0.07</v>
      </c>
      <c r="H14" s="19"/>
      <c r="I14" s="19">
        <f t="shared" si="1"/>
        <v>0.07</v>
      </c>
      <c r="J14" s="20">
        <f t="shared" si="2"/>
        <v>0.02</v>
      </c>
      <c r="K14" s="21">
        <f t="shared" si="3"/>
        <v>1.4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0.08</v>
      </c>
      <c r="H15" s="19"/>
      <c r="I15" s="19">
        <f t="shared" si="1"/>
        <v>0.08</v>
      </c>
      <c r="J15" s="20">
        <f t="shared" si="2"/>
        <v>0.03</v>
      </c>
      <c r="K15" s="21">
        <f t="shared" si="3"/>
        <v>1.6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0.57</v>
      </c>
      <c r="H17" s="25" t="str">
        <f t="shared" si="5"/>
        <v/>
      </c>
      <c r="I17" s="25">
        <f t="shared" si="5"/>
        <v>0.57</v>
      </c>
      <c r="J17" s="26">
        <f t="shared" si="2"/>
        <v>-0.02</v>
      </c>
      <c r="K17" s="27">
        <f t="shared" si="3"/>
        <v>0.9661016949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46316.0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>
        <v>0.06</v>
      </c>
      <c r="H6" s="19"/>
      <c r="I6" s="19">
        <f t="shared" si="1"/>
        <v>0.06</v>
      </c>
      <c r="J6" s="20">
        <f t="shared" si="2"/>
        <v>0.03</v>
      </c>
      <c r="K6" s="21">
        <f t="shared" si="3"/>
        <v>2</v>
      </c>
      <c r="L6" s="22" t="str">
        <f t="shared" si="4"/>
        <v>Top Performer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>
        <v>0.07</v>
      </c>
      <c r="H7" s="19"/>
      <c r="I7" s="19">
        <f t="shared" si="1"/>
        <v>0.07</v>
      </c>
      <c r="J7" s="20">
        <f t="shared" si="2"/>
        <v>0.02</v>
      </c>
      <c r="K7" s="21">
        <f t="shared" si="3"/>
        <v>1.4</v>
      </c>
      <c r="L7" s="22" t="str">
        <f t="shared" si="4"/>
        <v>Top Performer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>
        <v>0.05</v>
      </c>
      <c r="H9" s="19"/>
      <c r="I9" s="19">
        <f t="shared" si="1"/>
        <v>0.05</v>
      </c>
      <c r="J9" s="20">
        <f t="shared" si="2"/>
        <v>-0.02</v>
      </c>
      <c r="K9" s="21">
        <f t="shared" si="3"/>
        <v>0.7142857143</v>
      </c>
      <c r="L9" s="22" t="str">
        <f t="shared" si="4"/>
        <v>Needs Pacing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>
        <v>0.07</v>
      </c>
      <c r="H11" s="19"/>
      <c r="I11" s="19">
        <f t="shared" si="1"/>
        <v>0.07</v>
      </c>
      <c r="J11" s="20">
        <f t="shared" si="2"/>
        <v>0.02</v>
      </c>
      <c r="K11" s="21">
        <f t="shared" si="3"/>
        <v>1.4</v>
      </c>
      <c r="L11" s="22" t="str">
        <f t="shared" si="4"/>
        <v>Top Performer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>
        <v>0.09</v>
      </c>
      <c r="H13" s="19"/>
      <c r="I13" s="19">
        <f t="shared" si="1"/>
        <v>0.09</v>
      </c>
      <c r="J13" s="20">
        <f t="shared" si="2"/>
        <v>0.01</v>
      </c>
      <c r="K13" s="21">
        <f t="shared" si="3"/>
        <v>1.125</v>
      </c>
      <c r="L13" s="22" t="str">
        <f t="shared" si="4"/>
        <v>Top Performer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>
        <v>0.08</v>
      </c>
      <c r="H16" s="19"/>
      <c r="I16" s="19">
        <f t="shared" si="1"/>
        <v>0.08</v>
      </c>
      <c r="J16" s="20">
        <f t="shared" si="2"/>
        <v>0.01</v>
      </c>
      <c r="K16" s="21">
        <f t="shared" si="3"/>
        <v>1.142857143</v>
      </c>
      <c r="L16" s="22" t="str">
        <f t="shared" si="4"/>
        <v>Top Performer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>
        <f t="shared" si="5"/>
        <v>0.42</v>
      </c>
      <c r="H17" s="25" t="str">
        <f t="shared" si="5"/>
        <v/>
      </c>
      <c r="I17" s="25">
        <f t="shared" si="5"/>
        <v>0.42</v>
      </c>
      <c r="J17" s="26">
        <f t="shared" si="2"/>
        <v>-0.17</v>
      </c>
      <c r="K17" s="27">
        <f t="shared" si="3"/>
        <v>0.7118644068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46317.0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>
        <v>0.05</v>
      </c>
      <c r="H5" s="19"/>
      <c r="I5" s="19">
        <f t="shared" ref="I5:I7" si="1">IF(AND(G5="",H5=""),"",SUM(G5:H5))</f>
        <v>0.05</v>
      </c>
      <c r="J5" s="20">
        <f t="shared" ref="J5:J17" si="2">IF(I5="","",I5-(E5+N(F5)))</f>
        <v>0</v>
      </c>
      <c r="K5" s="21">
        <f t="shared" ref="K5:K17" si="3">IF(I5="","",IFERROR(I5/(E5+N(F5)),0))</f>
        <v>1</v>
      </c>
      <c r="L5" s="22" t="str">
        <f t="shared" ref="L5:L16" si="4">IF(I5="","",IF(K5&gt;=1.01,"Top Performer",IF(K5&gt;=1,"Achieved",IF(K5&gt;=0.98,"Near Target","Needs Pacing"))))</f>
        <v>Achieved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>
        <v>0.06</v>
      </c>
      <c r="H8" s="19"/>
      <c r="I8" s="19"/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ref="I9:I16" si="5">IF(AND(G9="",H9=""),"",SUM(G9:H9))</f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>
        <v>0.15</v>
      </c>
      <c r="H10" s="19"/>
      <c r="I10" s="19">
        <f t="shared" si="5"/>
        <v>0.15</v>
      </c>
      <c r="J10" s="20">
        <f t="shared" si="2"/>
        <v>0.12</v>
      </c>
      <c r="K10" s="21">
        <f t="shared" si="3"/>
        <v>5</v>
      </c>
      <c r="L10" s="22" t="str">
        <f t="shared" si="4"/>
        <v>Top Performer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5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>
        <v>0.08</v>
      </c>
      <c r="H12" s="19"/>
      <c r="I12" s="19">
        <f t="shared" si="5"/>
        <v>0.08</v>
      </c>
      <c r="J12" s="20">
        <f t="shared" si="2"/>
        <v>0.05</v>
      </c>
      <c r="K12" s="21">
        <f t="shared" si="3"/>
        <v>2.666666667</v>
      </c>
      <c r="L12" s="22" t="str">
        <f t="shared" si="4"/>
        <v>Top Performer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5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>
        <v>0.1</v>
      </c>
      <c r="H14" s="19"/>
      <c r="I14" s="19">
        <f t="shared" si="5"/>
        <v>0.1</v>
      </c>
      <c r="J14" s="20">
        <f t="shared" si="2"/>
        <v>0.05</v>
      </c>
      <c r="K14" s="21">
        <f t="shared" si="3"/>
        <v>2</v>
      </c>
      <c r="L14" s="22" t="str">
        <f t="shared" si="4"/>
        <v>Top Performer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>
        <v>0.1</v>
      </c>
      <c r="H15" s="19"/>
      <c r="I15" s="19">
        <f t="shared" si="5"/>
        <v>0.1</v>
      </c>
      <c r="J15" s="20">
        <f t="shared" si="2"/>
        <v>0.05</v>
      </c>
      <c r="K15" s="21">
        <f t="shared" si="3"/>
        <v>2</v>
      </c>
      <c r="L15" s="22" t="str">
        <f t="shared" si="4"/>
        <v>Top Performer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5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6">IF(COUNT(F5:F16)=0,"",SUM(F5:F16))</f>
        <v/>
      </c>
      <c r="G17" s="25">
        <f t="shared" si="6"/>
        <v>0.54</v>
      </c>
      <c r="H17" s="25" t="str">
        <f t="shared" si="6"/>
        <v/>
      </c>
      <c r="I17" s="25">
        <f t="shared" si="6"/>
        <v>0.48</v>
      </c>
      <c r="J17" s="26">
        <f t="shared" si="2"/>
        <v>-0.11</v>
      </c>
      <c r="K17" s="27">
        <f t="shared" si="3"/>
        <v>0.813559322</v>
      </c>
      <c r="L17" s="28" t="str">
        <f>IF(I17="","",IF(K17&gt;=1,"Achieved","Shortfall"))</f>
        <v>Shortfall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2626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46318.0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20">
        <v>0.0</v>
      </c>
      <c r="K5" s="21">
        <v>0.0</v>
      </c>
      <c r="L5" s="22" t="s">
        <v>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20">
        <v>0.0</v>
      </c>
      <c r="K6" s="21">
        <v>0.0</v>
      </c>
      <c r="L6" s="22" t="s">
        <v>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20">
        <v>0.0</v>
      </c>
      <c r="K7" s="21">
        <v>0.0</v>
      </c>
      <c r="L7" s="22" t="s">
        <v>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20">
        <v>0.0</v>
      </c>
      <c r="K8" s="21">
        <v>0.0</v>
      </c>
      <c r="L8" s="22" t="s">
        <v>20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20">
        <v>0.0</v>
      </c>
      <c r="K9" s="21">
        <v>0.0</v>
      </c>
      <c r="L9" s="22" t="s">
        <v>20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20">
        <v>0.0</v>
      </c>
      <c r="K10" s="21">
        <v>0.0</v>
      </c>
      <c r="L10" s="22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20">
        <v>0.0</v>
      </c>
      <c r="K11" s="21">
        <v>0.0</v>
      </c>
      <c r="L11" s="22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20">
        <v>0.0</v>
      </c>
      <c r="K12" s="21">
        <v>0.0</v>
      </c>
      <c r="L12" s="22" t="s">
        <v>20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20">
        <v>0.0</v>
      </c>
      <c r="K13" s="21">
        <v>0.0</v>
      </c>
      <c r="L13" s="22" t="s">
        <v>20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20">
        <v>0.0</v>
      </c>
      <c r="K14" s="21">
        <v>0.0</v>
      </c>
      <c r="L14" s="22" t="s">
        <v>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20">
        <v>0.0</v>
      </c>
      <c r="K15" s="21">
        <v>0.0</v>
      </c>
      <c r="L15" s="22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20">
        <v>0.0</v>
      </c>
      <c r="K16" s="21">
        <v>0.0</v>
      </c>
      <c r="L16" s="22" t="s">
        <v>20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6">
        <v>0.0</v>
      </c>
      <c r="K17" s="27">
        <v>0.0</v>
      </c>
      <c r="L17" s="28" t="s">
        <v>20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46319.0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6" t="str">
        <f t="shared" si="2"/>
        <v/>
      </c>
      <c r="K17" s="27" t="str">
        <f t="shared" si="3"/>
        <v/>
      </c>
      <c r="L17" s="28" t="str">
        <f>IF(I17="","",IF(K17&gt;=1,"Achieved","Shortfall"))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46320.0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6" t="str">
        <f t="shared" si="2"/>
        <v/>
      </c>
      <c r="K17" s="27" t="str">
        <f t="shared" si="3"/>
        <v/>
      </c>
      <c r="L17" s="28" t="str">
        <f>IF(I17="","",IF(K17&gt;=1,"Achieved","Shortfall"))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46321.0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6" t="str">
        <f t="shared" si="2"/>
        <v/>
      </c>
      <c r="K17" s="27" t="str">
        <f t="shared" si="3"/>
        <v/>
      </c>
      <c r="L17" s="28" t="str">
        <f>IF(I17="","",IF(K17&gt;=1,"Achieved","Shortfall"))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46322.0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6" t="str">
        <f t="shared" si="2"/>
        <v/>
      </c>
      <c r="K17" s="27" t="str">
        <f t="shared" si="3"/>
        <v/>
      </c>
      <c r="L17" s="28" t="str">
        <f>IF(I17="","",IF(K17&gt;=1,"Achieved","Shortfall"))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46323.0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6" t="str">
        <f t="shared" si="2"/>
        <v/>
      </c>
      <c r="K17" s="27" t="str">
        <f t="shared" si="3"/>
        <v/>
      </c>
      <c r="L17" s="28" t="str">
        <f>IF(I17="","",IF(K17&gt;=1,"Achieved","Shortfall"))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46324.0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6" t="str">
        <f t="shared" si="2"/>
        <v/>
      </c>
      <c r="K17" s="27" t="str">
        <f t="shared" si="3"/>
        <v/>
      </c>
      <c r="L17" s="28" t="str">
        <f>IF(I17="","",IF(K17&gt;=1,"Achieved","Shortfall"))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2626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46325.0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20">
        <v>0.0</v>
      </c>
      <c r="K5" s="21">
        <v>0.0</v>
      </c>
      <c r="L5" s="22" t="s">
        <v>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20">
        <v>0.0</v>
      </c>
      <c r="K6" s="21">
        <v>0.0</v>
      </c>
      <c r="L6" s="22" t="s">
        <v>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20">
        <v>0.0</v>
      </c>
      <c r="K7" s="21">
        <v>0.0</v>
      </c>
      <c r="L7" s="22" t="s">
        <v>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20">
        <v>0.0</v>
      </c>
      <c r="K8" s="21">
        <v>0.0</v>
      </c>
      <c r="L8" s="22" t="s">
        <v>20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20">
        <v>0.0</v>
      </c>
      <c r="K9" s="21">
        <v>0.0</v>
      </c>
      <c r="L9" s="22" t="s">
        <v>20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20">
        <v>0.0</v>
      </c>
      <c r="K10" s="21">
        <v>0.0</v>
      </c>
      <c r="L10" s="22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20">
        <v>0.0</v>
      </c>
      <c r="K11" s="21">
        <v>0.0</v>
      </c>
      <c r="L11" s="22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20">
        <v>0.0</v>
      </c>
      <c r="K12" s="21">
        <v>0.0</v>
      </c>
      <c r="L12" s="22" t="s">
        <v>20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20">
        <v>0.0</v>
      </c>
      <c r="K13" s="21">
        <v>0.0</v>
      </c>
      <c r="L13" s="22" t="s">
        <v>20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20">
        <v>0.0</v>
      </c>
      <c r="K14" s="21">
        <v>0.0</v>
      </c>
      <c r="L14" s="22" t="s">
        <v>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20">
        <v>0.0</v>
      </c>
      <c r="K15" s="21">
        <v>0.0</v>
      </c>
      <c r="L15" s="22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20">
        <v>0.0</v>
      </c>
      <c r="K16" s="21">
        <v>0.0</v>
      </c>
      <c r="L16" s="22" t="s">
        <v>20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6">
        <v>0.0</v>
      </c>
      <c r="K17" s="27">
        <v>0.0</v>
      </c>
      <c r="L17" s="28" t="s">
        <v>20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16.5"/>
    <col customWidth="1" min="3" max="3" width="20.88"/>
    <col customWidth="1" min="4" max="4" width="9.38"/>
    <col customWidth="1" min="5" max="10" width="10.5"/>
    <col customWidth="1" min="11" max="11" width="11.63"/>
    <col customWidth="1" min="12" max="12" width="12.63"/>
    <col customWidth="1" min="13" max="26" width="8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6" t="s">
        <v>2</v>
      </c>
      <c r="C2" s="5" t="s">
        <v>3</v>
      </c>
      <c r="D2" s="7" t="s">
        <v>4</v>
      </c>
      <c r="E2" s="2"/>
      <c r="F2" s="3"/>
      <c r="G2" s="8" t="s">
        <v>5</v>
      </c>
      <c r="H2" s="8" t="s">
        <v>5</v>
      </c>
      <c r="I2" s="9" t="s">
        <v>6</v>
      </c>
      <c r="J2" s="3"/>
      <c r="K2" s="10">
        <v>46326.0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7</v>
      </c>
      <c r="B3" s="11" t="s">
        <v>8</v>
      </c>
      <c r="C3" s="11" t="s">
        <v>9</v>
      </c>
      <c r="D3" s="11" t="s">
        <v>10</v>
      </c>
      <c r="E3" s="12" t="s">
        <v>11</v>
      </c>
      <c r="F3" s="3"/>
      <c r="G3" s="12" t="s">
        <v>12</v>
      </c>
      <c r="H3" s="3"/>
      <c r="I3" s="11" t="s">
        <v>13</v>
      </c>
      <c r="J3" s="11" t="s">
        <v>14</v>
      </c>
      <c r="K3" s="11" t="s">
        <v>15</v>
      </c>
      <c r="L3" s="11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3"/>
      <c r="B4" s="13"/>
      <c r="C4" s="13"/>
      <c r="D4" s="13"/>
      <c r="E4" s="14" t="s">
        <v>17</v>
      </c>
      <c r="F4" s="14" t="s">
        <v>18</v>
      </c>
      <c r="G4" s="14" t="s">
        <v>17</v>
      </c>
      <c r="H4" s="14" t="s">
        <v>18</v>
      </c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5">
        <f>Target!A4</f>
        <v>1</v>
      </c>
      <c r="B5" s="16" t="str">
        <f>Target!B4</f>
        <v>Karim</v>
      </c>
      <c r="C5" s="17" t="str">
        <f>Target!C4</f>
        <v>Kesua</v>
      </c>
      <c r="D5" s="18" t="str">
        <f>Target!D4</f>
        <v/>
      </c>
      <c r="E5" s="19">
        <f>Target!G4</f>
        <v>0.05</v>
      </c>
      <c r="F5" s="19" t="str">
        <f>Target!H4</f>
        <v/>
      </c>
      <c r="G5" s="19"/>
      <c r="H5" s="19"/>
      <c r="I5" s="19" t="str">
        <f t="shared" ref="I5:I16" si="1">IF(AND(G5="",H5=""),"",SUM(G5:H5))</f>
        <v/>
      </c>
      <c r="J5" s="20" t="str">
        <f t="shared" ref="J5:J17" si="2">IF(I5="","",I5-(E5+N(F5)))</f>
        <v/>
      </c>
      <c r="K5" s="21" t="str">
        <f t="shared" ref="K5:K17" si="3">IF(I5="","",IFERROR(I5/(E5+N(F5)),0))</f>
        <v/>
      </c>
      <c r="L5" s="22" t="str">
        <f t="shared" ref="L5:L16" si="4">IF(I5="","",IF(K5&gt;=1.01,"Top Performer",IF(K5&gt;=1,"Achieved",IF(K5&gt;=0.98,"Near Target","Needs Pacing"))))</f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5">
        <f>Target!A5</f>
        <v>2</v>
      </c>
      <c r="B6" s="13"/>
      <c r="C6" s="17" t="str">
        <f>Target!C5</f>
        <v>Moulvi Bazar</v>
      </c>
      <c r="D6" s="18" t="str">
        <f>Target!D5</f>
        <v/>
      </c>
      <c r="E6" s="19">
        <f>Target!G5</f>
        <v>0.03</v>
      </c>
      <c r="F6" s="19" t="str">
        <f>Target!H5</f>
        <v/>
      </c>
      <c r="G6" s="19"/>
      <c r="H6" s="19"/>
      <c r="I6" s="19" t="str">
        <f t="shared" si="1"/>
        <v/>
      </c>
      <c r="J6" s="20" t="str">
        <f t="shared" si="2"/>
        <v/>
      </c>
      <c r="K6" s="21" t="str">
        <f t="shared" si="3"/>
        <v/>
      </c>
      <c r="L6" s="22" t="str">
        <f t="shared" si="4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5">
        <f>Target!A6</f>
        <v>3</v>
      </c>
      <c r="B7" s="16" t="str">
        <f>Target!B6</f>
        <v>Jabed</v>
      </c>
      <c r="C7" s="17" t="str">
        <f>Target!C6</f>
        <v>Char Barama</v>
      </c>
      <c r="D7" s="18" t="str">
        <f>Target!D6</f>
        <v/>
      </c>
      <c r="E7" s="19">
        <f>Target!G6</f>
        <v>0.05</v>
      </c>
      <c r="F7" s="19" t="str">
        <f>Target!H6</f>
        <v/>
      </c>
      <c r="G7" s="19"/>
      <c r="H7" s="19"/>
      <c r="I7" s="19" t="str">
        <f t="shared" si="1"/>
        <v/>
      </c>
      <c r="J7" s="20" t="str">
        <f t="shared" si="2"/>
        <v/>
      </c>
      <c r="K7" s="21" t="str">
        <f t="shared" si="3"/>
        <v/>
      </c>
      <c r="L7" s="22" t="str">
        <f t="shared" si="4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5">
        <f>Target!A7</f>
        <v>4</v>
      </c>
      <c r="B8" s="13"/>
      <c r="C8" s="17" t="str">
        <f>Target!C7</f>
        <v>Pukur Par</v>
      </c>
      <c r="D8" s="18" t="str">
        <f>Target!D7</f>
        <v/>
      </c>
      <c r="E8" s="19">
        <f>Target!G7</f>
        <v>0.03</v>
      </c>
      <c r="F8" s="19" t="str">
        <f>Target!H7</f>
        <v/>
      </c>
      <c r="G8" s="19"/>
      <c r="H8" s="19"/>
      <c r="I8" s="19" t="str">
        <f t="shared" si="1"/>
        <v/>
      </c>
      <c r="J8" s="20" t="str">
        <f t="shared" si="2"/>
        <v/>
      </c>
      <c r="K8" s="21" t="str">
        <f t="shared" si="3"/>
        <v/>
      </c>
      <c r="L8" s="22" t="str">
        <f t="shared" si="4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5">
        <f>Target!A8</f>
        <v>5</v>
      </c>
      <c r="B9" s="16" t="str">
        <f>Target!B8</f>
        <v>Anowar</v>
      </c>
      <c r="C9" s="17" t="str">
        <f>Target!C8</f>
        <v>Dhamair Hat</v>
      </c>
      <c r="D9" s="18" t="str">
        <f>Target!D8</f>
        <v/>
      </c>
      <c r="E9" s="19">
        <f>Target!G8</f>
        <v>0.07</v>
      </c>
      <c r="F9" s="19" t="str">
        <f>Target!H8</f>
        <v/>
      </c>
      <c r="G9" s="19"/>
      <c r="H9" s="19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5">
        <f>Target!A9</f>
        <v>6</v>
      </c>
      <c r="B10" s="13"/>
      <c r="C10" s="17" t="str">
        <f>Target!C9</f>
        <v>Chomuda para</v>
      </c>
      <c r="D10" s="18" t="str">
        <f>Target!D9</f>
        <v/>
      </c>
      <c r="E10" s="19">
        <f>Target!G9</f>
        <v>0.03</v>
      </c>
      <c r="F10" s="19" t="str">
        <f>Target!H9</f>
        <v/>
      </c>
      <c r="G10" s="19"/>
      <c r="H10" s="19"/>
      <c r="I10" s="19" t="str">
        <f t="shared" si="1"/>
        <v/>
      </c>
      <c r="J10" s="20" t="str">
        <f t="shared" si="2"/>
        <v/>
      </c>
      <c r="K10" s="21" t="str">
        <f t="shared" si="3"/>
        <v/>
      </c>
      <c r="L10" s="22" t="str">
        <f t="shared" si="4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5">
        <f>Target!A10</f>
        <v>7</v>
      </c>
      <c r="B11" s="16" t="str">
        <f>Target!B10</f>
        <v>Tahasin</v>
      </c>
      <c r="C11" s="17" t="str">
        <f>Target!C10</f>
        <v>Harala</v>
      </c>
      <c r="D11" s="18" t="str">
        <f>Target!D10</f>
        <v/>
      </c>
      <c r="E11" s="19">
        <f>Target!G10</f>
        <v>0.05</v>
      </c>
      <c r="F11" s="19" t="str">
        <f>Target!H10</f>
        <v/>
      </c>
      <c r="G11" s="19"/>
      <c r="H11" s="19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5">
        <f>Target!A11</f>
        <v>8</v>
      </c>
      <c r="B12" s="13"/>
      <c r="C12" s="17" t="str">
        <f>Target!C11</f>
        <v>Nazir Hat</v>
      </c>
      <c r="D12" s="18" t="str">
        <f>Target!D11</f>
        <v/>
      </c>
      <c r="E12" s="19">
        <f>Target!G11</f>
        <v>0.03</v>
      </c>
      <c r="F12" s="19" t="str">
        <f>Target!H11</f>
        <v/>
      </c>
      <c r="G12" s="19"/>
      <c r="H12" s="19"/>
      <c r="I12" s="19" t="str">
        <f t="shared" si="1"/>
        <v/>
      </c>
      <c r="J12" s="20" t="str">
        <f t="shared" si="2"/>
        <v/>
      </c>
      <c r="K12" s="21" t="str">
        <f t="shared" si="3"/>
        <v/>
      </c>
      <c r="L12" s="22" t="str">
        <f t="shared" si="4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5">
        <f>Target!A12</f>
        <v>9</v>
      </c>
      <c r="B13" s="16" t="str">
        <f>Target!B12</f>
        <v>Amir</v>
      </c>
      <c r="C13" s="17" t="str">
        <f>Target!C12</f>
        <v>khan Hat</v>
      </c>
      <c r="D13" s="18" t="str">
        <f>Target!D12</f>
        <v/>
      </c>
      <c r="E13" s="19">
        <f>Target!G12</f>
        <v>0.08</v>
      </c>
      <c r="F13" s="19" t="str">
        <f>Target!H12</f>
        <v/>
      </c>
      <c r="G13" s="19"/>
      <c r="H13" s="19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5">
        <f>Target!A13</f>
        <v>10</v>
      </c>
      <c r="B14" s="13"/>
      <c r="C14" s="17" t="str">
        <f>Target!C13</f>
        <v>Saidabad</v>
      </c>
      <c r="D14" s="18" t="str">
        <f>Target!D13</f>
        <v/>
      </c>
      <c r="E14" s="19">
        <f>Target!G13</f>
        <v>0.05</v>
      </c>
      <c r="F14" s="19" t="str">
        <f>Target!H13</f>
        <v/>
      </c>
      <c r="G14" s="19"/>
      <c r="H14" s="19"/>
      <c r="I14" s="19" t="str">
        <f t="shared" si="1"/>
        <v/>
      </c>
      <c r="J14" s="20" t="str">
        <f t="shared" si="2"/>
        <v/>
      </c>
      <c r="K14" s="21" t="str">
        <f t="shared" si="3"/>
        <v/>
      </c>
      <c r="L14" s="22" t="str">
        <f t="shared" si="4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5">
        <f>Target!A14</f>
        <v>11</v>
      </c>
      <c r="B15" s="16" t="str">
        <f>Target!B14</f>
        <v>Piplu</v>
      </c>
      <c r="C15" s="17" t="str">
        <f>Target!C14</f>
        <v>Hasimpur</v>
      </c>
      <c r="D15" s="18" t="str">
        <f>Target!D14</f>
        <v/>
      </c>
      <c r="E15" s="19">
        <f>Target!G14</f>
        <v>0.05</v>
      </c>
      <c r="F15" s="19" t="str">
        <f>Target!H14</f>
        <v/>
      </c>
      <c r="G15" s="19"/>
      <c r="H15" s="19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5">
        <f>Target!A15</f>
        <v>12</v>
      </c>
      <c r="B16" s="13"/>
      <c r="C16" s="17" t="str">
        <f>Target!C15</f>
        <v>Chandanaish</v>
      </c>
      <c r="D16" s="18" t="str">
        <f>Target!D15</f>
        <v/>
      </c>
      <c r="E16" s="19">
        <f>Target!G15</f>
        <v>0.07</v>
      </c>
      <c r="F16" s="19" t="str">
        <f>Target!H15</f>
        <v/>
      </c>
      <c r="G16" s="19"/>
      <c r="H16" s="19"/>
      <c r="I16" s="19" t="str">
        <f t="shared" si="1"/>
        <v/>
      </c>
      <c r="J16" s="20" t="str">
        <f t="shared" si="2"/>
        <v/>
      </c>
      <c r="K16" s="21" t="str">
        <f t="shared" si="3"/>
        <v/>
      </c>
      <c r="L16" s="22" t="str">
        <f t="shared" si="4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 t="s">
        <v>19</v>
      </c>
      <c r="B17" s="2"/>
      <c r="C17" s="3"/>
      <c r="D17" s="24" t="str">
        <f>IF(COUNT(D5:D16)=0,"",SUM(D5:D16))</f>
        <v/>
      </c>
      <c r="E17" s="25">
        <f>SUM(E5:E16)</f>
        <v>0.59</v>
      </c>
      <c r="F17" s="25" t="str">
        <f t="shared" ref="F17:I17" si="5">IF(COUNT(F5:F16)=0,"",SUM(F5:F16))</f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6" t="str">
        <f t="shared" si="2"/>
        <v/>
      </c>
      <c r="K17" s="27" t="str">
        <f t="shared" si="3"/>
        <v/>
      </c>
      <c r="L17" s="28" t="str">
        <f>IF(I17="","",IF(K17&gt;=1,"Achieved","Shortfall"))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9"/>
      <c r="B18" s="50"/>
      <c r="C18" s="50"/>
      <c r="D18" s="51"/>
      <c r="E18" s="51"/>
      <c r="F18" s="51"/>
      <c r="G18" s="51"/>
      <c r="H18" s="51"/>
      <c r="I18" s="51"/>
      <c r="J18" s="52"/>
      <c r="K18" s="53"/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5"/>
      <c r="B19" s="56"/>
      <c r="C19" s="56"/>
      <c r="D19" s="57"/>
      <c r="E19" s="57"/>
      <c r="F19" s="57"/>
      <c r="G19" s="57"/>
      <c r="H19" s="57"/>
      <c r="I19" s="57"/>
      <c r="J19" s="58"/>
      <c r="K19" s="59"/>
      <c r="L19" s="6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5"/>
      <c r="B20" s="56"/>
      <c r="C20" s="56"/>
      <c r="D20" s="57"/>
      <c r="E20" s="57"/>
      <c r="F20" s="57"/>
      <c r="G20" s="57"/>
      <c r="H20" s="57"/>
      <c r="I20" s="57"/>
      <c r="J20" s="58"/>
      <c r="K20" s="59"/>
      <c r="L20" s="6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5"/>
      <c r="B21" s="56"/>
      <c r="C21" s="56"/>
      <c r="D21" s="57"/>
      <c r="E21" s="57"/>
      <c r="F21" s="57"/>
      <c r="G21" s="57"/>
      <c r="H21" s="57"/>
      <c r="I21" s="57"/>
      <c r="J21" s="58"/>
      <c r="K21" s="59"/>
      <c r="L21" s="6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5"/>
      <c r="B22" s="56"/>
      <c r="C22" s="56"/>
      <c r="D22" s="57"/>
      <c r="E22" s="57"/>
      <c r="F22" s="57"/>
      <c r="G22" s="57"/>
      <c r="H22" s="57"/>
      <c r="I22" s="57"/>
      <c r="J22" s="58"/>
      <c r="K22" s="59"/>
      <c r="L22" s="6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5"/>
      <c r="B23" s="56"/>
      <c r="C23" s="56"/>
      <c r="D23" s="57"/>
      <c r="E23" s="57"/>
      <c r="F23" s="57"/>
      <c r="G23" s="57"/>
      <c r="H23" s="57"/>
      <c r="I23" s="57"/>
      <c r="J23" s="58"/>
      <c r="K23" s="59"/>
      <c r="L23" s="6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5"/>
      <c r="B24" s="56"/>
      <c r="C24" s="56"/>
      <c r="D24" s="57"/>
      <c r="E24" s="57"/>
      <c r="F24" s="57"/>
      <c r="G24" s="57"/>
      <c r="H24" s="57"/>
      <c r="I24" s="57"/>
      <c r="J24" s="58"/>
      <c r="K24" s="59"/>
      <c r="L24" s="6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5"/>
      <c r="B25" s="56"/>
      <c r="C25" s="56"/>
      <c r="D25" s="57"/>
      <c r="E25" s="57"/>
      <c r="F25" s="57"/>
      <c r="G25" s="57"/>
      <c r="H25" s="57"/>
      <c r="I25" s="57"/>
      <c r="J25" s="58"/>
      <c r="K25" s="59"/>
      <c r="L25" s="6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5"/>
      <c r="B26" s="56"/>
      <c r="C26" s="56"/>
      <c r="D26" s="57"/>
      <c r="E26" s="57"/>
      <c r="F26" s="57"/>
      <c r="G26" s="57"/>
      <c r="H26" s="57"/>
      <c r="I26" s="57"/>
      <c r="J26" s="58"/>
      <c r="K26" s="59"/>
      <c r="L26" s="6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5"/>
      <c r="B27" s="56"/>
      <c r="C27" s="56"/>
      <c r="D27" s="57"/>
      <c r="E27" s="57"/>
      <c r="F27" s="57"/>
      <c r="G27" s="57"/>
      <c r="H27" s="57"/>
      <c r="I27" s="57"/>
      <c r="J27" s="58"/>
      <c r="K27" s="59"/>
      <c r="L27" s="6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1"/>
      <c r="B28" s="62"/>
      <c r="C28" s="62"/>
      <c r="D28" s="63"/>
      <c r="E28" s="64"/>
      <c r="F28" s="64"/>
      <c r="G28" s="64"/>
      <c r="H28" s="64"/>
      <c r="I28" s="64"/>
      <c r="J28" s="65"/>
      <c r="K28" s="66"/>
      <c r="L28" s="6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hidden="1" customHeight="1">
      <c r="A29" s="68"/>
      <c r="B29" s="68"/>
      <c r="C29" s="68"/>
      <c r="D29" s="68"/>
      <c r="E29" s="68"/>
      <c r="F29" s="68"/>
      <c r="G29" s="68"/>
      <c r="H29" s="68"/>
      <c r="I29" s="6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8"/>
      <c r="B30" s="48"/>
      <c r="C30" s="48"/>
      <c r="D30" s="48"/>
      <c r="E30" s="48"/>
      <c r="F30" s="48"/>
      <c r="G30" s="48"/>
      <c r="H30" s="48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8"/>
      <c r="B32" s="48"/>
      <c r="C32" s="48"/>
      <c r="D32" s="48"/>
      <c r="E32" s="48"/>
      <c r="F32" s="48"/>
      <c r="G32" s="48"/>
      <c r="H32" s="48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8"/>
      <c r="B33" s="48"/>
      <c r="C33" s="48"/>
      <c r="D33" s="48"/>
      <c r="E33" s="48"/>
      <c r="F33" s="48"/>
      <c r="G33" s="48"/>
      <c r="H33" s="48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8"/>
      <c r="B34" s="48"/>
      <c r="C34" s="48"/>
      <c r="D34" s="48"/>
      <c r="E34" s="48"/>
      <c r="F34" s="48"/>
      <c r="G34" s="48"/>
      <c r="H34" s="48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8"/>
      <c r="B35" s="48"/>
      <c r="C35" s="48"/>
      <c r="D35" s="48"/>
      <c r="E35" s="48"/>
      <c r="F35" s="48"/>
      <c r="G35" s="48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8"/>
      <c r="B36" s="48"/>
      <c r="C36" s="48"/>
      <c r="D36" s="48"/>
      <c r="E36" s="48"/>
      <c r="F36" s="48"/>
      <c r="G36" s="48"/>
      <c r="H36" s="48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8"/>
      <c r="B37" s="48"/>
      <c r="C37" s="48"/>
      <c r="D37" s="48"/>
      <c r="E37" s="48"/>
      <c r="F37" s="48"/>
      <c r="G37" s="48"/>
      <c r="H37" s="48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8"/>
      <c r="B38" s="48"/>
      <c r="C38" s="48"/>
      <c r="D38" s="48"/>
      <c r="E38" s="48"/>
      <c r="F38" s="48"/>
      <c r="G38" s="48"/>
      <c r="H38" s="48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8"/>
      <c r="B39" s="48"/>
      <c r="C39" s="48"/>
      <c r="D39" s="48"/>
      <c r="E39" s="48"/>
      <c r="F39" s="48"/>
      <c r="G39" s="48"/>
      <c r="H39" s="48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8"/>
      <c r="B40" s="48"/>
      <c r="C40" s="48"/>
      <c r="D40" s="48"/>
      <c r="E40" s="48"/>
      <c r="F40" s="48"/>
      <c r="G40" s="48"/>
      <c r="H40" s="48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8"/>
      <c r="B41" s="48"/>
      <c r="C41" s="48"/>
      <c r="D41" s="48"/>
      <c r="E41" s="48"/>
      <c r="F41" s="48"/>
      <c r="G41" s="48"/>
      <c r="H41" s="48"/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8"/>
      <c r="B42" s="48"/>
      <c r="C42" s="48"/>
      <c r="D42" s="48"/>
      <c r="E42" s="48"/>
      <c r="F42" s="48"/>
      <c r="G42" s="48"/>
      <c r="H42" s="48"/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8"/>
      <c r="B43" s="48"/>
      <c r="C43" s="48"/>
      <c r="D43" s="48"/>
      <c r="E43" s="48"/>
      <c r="F43" s="48"/>
      <c r="G43" s="48"/>
      <c r="H43" s="48"/>
      <c r="I43" s="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8"/>
      <c r="B44" s="48"/>
      <c r="C44" s="48"/>
      <c r="D44" s="48"/>
      <c r="E44" s="48"/>
      <c r="F44" s="48"/>
      <c r="G44" s="48"/>
      <c r="H44" s="48"/>
      <c r="I44" s="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8"/>
      <c r="B45" s="48"/>
      <c r="C45" s="48"/>
      <c r="D45" s="48"/>
      <c r="E45" s="48"/>
      <c r="F45" s="48"/>
      <c r="G45" s="48"/>
      <c r="H45" s="48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hidden="1" customHeight="1">
      <c r="A46" s="48"/>
      <c r="B46" s="48"/>
      <c r="C46" s="48"/>
      <c r="D46" s="48"/>
      <c r="E46" s="48"/>
      <c r="F46" s="48"/>
      <c r="G46" s="48"/>
      <c r="H46" s="48"/>
      <c r="I46" s="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8"/>
      <c r="B47" s="48"/>
      <c r="C47" s="48"/>
      <c r="D47" s="48"/>
      <c r="E47" s="48"/>
      <c r="F47" s="48"/>
      <c r="G47" s="48"/>
      <c r="H47" s="48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8"/>
      <c r="B48" s="48"/>
      <c r="C48" s="48"/>
      <c r="D48" s="48"/>
      <c r="E48" s="48"/>
      <c r="F48" s="48"/>
      <c r="G48" s="48"/>
      <c r="H48" s="48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8"/>
      <c r="B50" s="48"/>
      <c r="C50" s="48"/>
      <c r="D50" s="48"/>
      <c r="E50" s="48"/>
      <c r="F50" s="48"/>
      <c r="G50" s="48"/>
      <c r="H50" s="48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hidden="1" customHeight="1">
      <c r="A52" s="48"/>
      <c r="B52" s="48"/>
      <c r="C52" s="48"/>
      <c r="D52" s="48"/>
      <c r="E52" s="48"/>
      <c r="F52" s="48"/>
      <c r="G52" s="48"/>
      <c r="H52" s="48"/>
      <c r="I52" s="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hidden="1" customHeight="1">
      <c r="A53" s="48"/>
      <c r="B53" s="48"/>
      <c r="C53" s="48"/>
      <c r="D53" s="48"/>
      <c r="E53" s="48"/>
      <c r="F53" s="48"/>
      <c r="G53" s="48"/>
      <c r="H53" s="48"/>
      <c r="I53" s="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8"/>
      <c r="B54" s="48"/>
      <c r="C54" s="48"/>
      <c r="D54" s="48"/>
      <c r="E54" s="48"/>
      <c r="F54" s="48"/>
      <c r="G54" s="48"/>
      <c r="H54" s="48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8"/>
      <c r="B55" s="48"/>
      <c r="C55" s="48"/>
      <c r="D55" s="48"/>
      <c r="E55" s="48"/>
      <c r="F55" s="48"/>
      <c r="G55" s="48"/>
      <c r="H55" s="48"/>
      <c r="I55" s="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8"/>
      <c r="B56" s="48"/>
      <c r="C56" s="48"/>
      <c r="D56" s="48"/>
      <c r="E56" s="48"/>
      <c r="F56" s="48"/>
      <c r="G56" s="48"/>
      <c r="H56" s="48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8"/>
      <c r="B57" s="48"/>
      <c r="C57" s="48"/>
      <c r="D57" s="48"/>
      <c r="E57" s="48"/>
      <c r="F57" s="48"/>
      <c r="G57" s="48"/>
      <c r="H57" s="48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8"/>
      <c r="B58" s="48"/>
      <c r="C58" s="48"/>
      <c r="D58" s="48"/>
      <c r="E58" s="48"/>
      <c r="F58" s="48"/>
      <c r="G58" s="48"/>
      <c r="H58" s="48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8"/>
      <c r="B59" s="48"/>
      <c r="C59" s="48"/>
      <c r="D59" s="48"/>
      <c r="E59" s="48"/>
      <c r="F59" s="48"/>
      <c r="G59" s="48"/>
      <c r="H59" s="48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8"/>
      <c r="B60" s="48"/>
      <c r="C60" s="48"/>
      <c r="D60" s="48"/>
      <c r="E60" s="48"/>
      <c r="F60" s="48"/>
      <c r="G60" s="48"/>
      <c r="H60" s="48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8"/>
      <c r="B61" s="48"/>
      <c r="C61" s="48"/>
      <c r="D61" s="48"/>
      <c r="E61" s="48"/>
      <c r="F61" s="48"/>
      <c r="G61" s="48"/>
      <c r="H61" s="48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8"/>
      <c r="B62" s="48"/>
      <c r="C62" s="48"/>
      <c r="D62" s="48"/>
      <c r="E62" s="48"/>
      <c r="F62" s="48"/>
      <c r="G62" s="48"/>
      <c r="H62" s="48"/>
      <c r="I62" s="4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8"/>
      <c r="B63" s="48"/>
      <c r="C63" s="48"/>
      <c r="D63" s="48"/>
      <c r="E63" s="48"/>
      <c r="F63" s="48"/>
      <c r="G63" s="48"/>
      <c r="H63" s="48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8"/>
      <c r="B64" s="48"/>
      <c r="C64" s="48"/>
      <c r="D64" s="48"/>
      <c r="E64" s="48"/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8"/>
      <c r="B65" s="48"/>
      <c r="C65" s="48"/>
      <c r="D65" s="48"/>
      <c r="E65" s="48"/>
      <c r="F65" s="48"/>
      <c r="G65" s="48"/>
      <c r="H65" s="48"/>
      <c r="I65" s="4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8"/>
      <c r="B66" s="48"/>
      <c r="C66" s="48"/>
      <c r="D66" s="48"/>
      <c r="E66" s="48"/>
      <c r="F66" s="48"/>
      <c r="G66" s="48"/>
      <c r="H66" s="48"/>
      <c r="I66" s="4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8"/>
      <c r="B67" s="48"/>
      <c r="C67" s="48"/>
      <c r="D67" s="48"/>
      <c r="E67" s="48"/>
      <c r="F67" s="48"/>
      <c r="G67" s="48"/>
      <c r="H67" s="48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8"/>
      <c r="B68" s="48"/>
      <c r="C68" s="48"/>
      <c r="D68" s="48"/>
      <c r="E68" s="48"/>
      <c r="F68" s="48"/>
      <c r="G68" s="48"/>
      <c r="H68" s="48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8"/>
      <c r="B69" s="48"/>
      <c r="C69" s="48"/>
      <c r="D69" s="48"/>
      <c r="E69" s="48"/>
      <c r="F69" s="48"/>
      <c r="G69" s="48"/>
      <c r="H69" s="48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8"/>
      <c r="B70" s="48"/>
      <c r="C70" s="48"/>
      <c r="D70" s="48"/>
      <c r="E70" s="48"/>
      <c r="F70" s="48"/>
      <c r="G70" s="48"/>
      <c r="H70" s="48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8"/>
      <c r="B71" s="48"/>
      <c r="C71" s="48"/>
      <c r="D71" s="48"/>
      <c r="E71" s="48"/>
      <c r="F71" s="48"/>
      <c r="G71" s="48"/>
      <c r="H71" s="48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8"/>
      <c r="B72" s="48"/>
      <c r="C72" s="48"/>
      <c r="D72" s="48"/>
      <c r="E72" s="48"/>
      <c r="F72" s="48"/>
      <c r="G72" s="48"/>
      <c r="H72" s="48"/>
      <c r="I72" s="4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8"/>
      <c r="B73" s="48"/>
      <c r="C73" s="48"/>
      <c r="D73" s="48"/>
      <c r="E73" s="48"/>
      <c r="F73" s="48"/>
      <c r="G73" s="48"/>
      <c r="H73" s="48"/>
      <c r="I73" s="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8"/>
      <c r="B74" s="48"/>
      <c r="C74" s="48"/>
      <c r="D74" s="48"/>
      <c r="E74" s="48"/>
      <c r="F74" s="48"/>
      <c r="G74" s="48"/>
      <c r="H74" s="48"/>
      <c r="I74" s="4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hidden="1" customHeight="1">
      <c r="A75" s="48"/>
      <c r="B75" s="48"/>
      <c r="C75" s="48"/>
      <c r="D75" s="48"/>
      <c r="E75" s="48"/>
      <c r="F75" s="48"/>
      <c r="G75" s="48"/>
      <c r="H75" s="48"/>
      <c r="I75" s="4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8"/>
      <c r="B76" s="48"/>
      <c r="C76" s="48"/>
      <c r="D76" s="48"/>
      <c r="E76" s="48"/>
      <c r="F76" s="48"/>
      <c r="G76" s="48"/>
      <c r="H76" s="48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8"/>
      <c r="B77" s="48"/>
      <c r="C77" s="48"/>
      <c r="D77" s="48"/>
      <c r="E77" s="48"/>
      <c r="F77" s="48"/>
      <c r="G77" s="48"/>
      <c r="H77" s="48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8"/>
      <c r="B78" s="48"/>
      <c r="C78" s="48"/>
      <c r="D78" s="48"/>
      <c r="E78" s="48"/>
      <c r="F78" s="48"/>
      <c r="G78" s="48"/>
      <c r="H78" s="48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8"/>
      <c r="B79" s="48"/>
      <c r="C79" s="48"/>
      <c r="D79" s="48"/>
      <c r="E79" s="48"/>
      <c r="F79" s="48"/>
      <c r="G79" s="48"/>
      <c r="H79" s="48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8"/>
      <c r="B80" s="48"/>
      <c r="C80" s="48"/>
      <c r="D80" s="48"/>
      <c r="E80" s="48"/>
      <c r="F80" s="48"/>
      <c r="G80" s="48"/>
      <c r="H80" s="48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8"/>
      <c r="B81" s="48"/>
      <c r="C81" s="48"/>
      <c r="D81" s="48"/>
      <c r="E81" s="48"/>
      <c r="F81" s="48"/>
      <c r="G81" s="48"/>
      <c r="H81" s="48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8"/>
      <c r="B82" s="48"/>
      <c r="C82" s="48"/>
      <c r="D82" s="48"/>
      <c r="E82" s="48"/>
      <c r="F82" s="48"/>
      <c r="G82" s="48"/>
      <c r="H82" s="48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8"/>
      <c r="B83" s="48"/>
      <c r="C83" s="48"/>
      <c r="D83" s="48"/>
      <c r="E83" s="48"/>
      <c r="F83" s="48"/>
      <c r="G83" s="48"/>
      <c r="H83" s="48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8"/>
      <c r="B84" s="48"/>
      <c r="C84" s="48"/>
      <c r="D84" s="48"/>
      <c r="E84" s="48"/>
      <c r="F84" s="48"/>
      <c r="G84" s="48"/>
      <c r="H84" s="48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8"/>
      <c r="B85" s="48"/>
      <c r="C85" s="48"/>
      <c r="D85" s="48"/>
      <c r="E85" s="48"/>
      <c r="F85" s="48"/>
      <c r="G85" s="48"/>
      <c r="H85" s="48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8"/>
      <c r="B86" s="48"/>
      <c r="C86" s="48"/>
      <c r="D86" s="48"/>
      <c r="E86" s="48"/>
      <c r="F86" s="48"/>
      <c r="G86" s="48"/>
      <c r="H86" s="48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8"/>
      <c r="B87" s="48"/>
      <c r="C87" s="48"/>
      <c r="D87" s="48"/>
      <c r="E87" s="48"/>
      <c r="F87" s="48"/>
      <c r="G87" s="48"/>
      <c r="H87" s="48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8"/>
      <c r="B88" s="48"/>
      <c r="C88" s="48"/>
      <c r="D88" s="48"/>
      <c r="E88" s="48"/>
      <c r="F88" s="48"/>
      <c r="G88" s="48"/>
      <c r="H88" s="48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8"/>
      <c r="B89" s="48"/>
      <c r="C89" s="48"/>
      <c r="D89" s="48"/>
      <c r="E89" s="48"/>
      <c r="F89" s="48"/>
      <c r="G89" s="48"/>
      <c r="H89" s="48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8"/>
      <c r="B90" s="48"/>
      <c r="C90" s="48"/>
      <c r="D90" s="48"/>
      <c r="E90" s="48"/>
      <c r="F90" s="48"/>
      <c r="G90" s="48"/>
      <c r="H90" s="48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8"/>
      <c r="B91" s="48"/>
      <c r="C91" s="48"/>
      <c r="D91" s="48"/>
      <c r="E91" s="48"/>
      <c r="F91" s="48"/>
      <c r="G91" s="48"/>
      <c r="H91" s="48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8"/>
      <c r="B92" s="48"/>
      <c r="C92" s="48"/>
      <c r="D92" s="48"/>
      <c r="E92" s="48"/>
      <c r="F92" s="48"/>
      <c r="G92" s="48"/>
      <c r="H92" s="48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8"/>
      <c r="B93" s="48"/>
      <c r="C93" s="48"/>
      <c r="D93" s="48"/>
      <c r="E93" s="48"/>
      <c r="F93" s="48"/>
      <c r="G93" s="48"/>
      <c r="H93" s="48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8"/>
      <c r="B94" s="48"/>
      <c r="C94" s="48"/>
      <c r="D94" s="48"/>
      <c r="E94" s="48"/>
      <c r="F94" s="48"/>
      <c r="G94" s="48"/>
      <c r="H94" s="48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8"/>
      <c r="B95" s="48"/>
      <c r="C95" s="48"/>
      <c r="D95" s="48"/>
      <c r="E95" s="48"/>
      <c r="F95" s="48"/>
      <c r="G95" s="48"/>
      <c r="H95" s="48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8"/>
      <c r="B96" s="48"/>
      <c r="C96" s="48"/>
      <c r="D96" s="48"/>
      <c r="E96" s="48"/>
      <c r="F96" s="48"/>
      <c r="G96" s="48"/>
      <c r="H96" s="48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8"/>
      <c r="B97" s="48"/>
      <c r="C97" s="48"/>
      <c r="D97" s="48"/>
      <c r="E97" s="48"/>
      <c r="F97" s="48"/>
      <c r="G97" s="48"/>
      <c r="H97" s="48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8"/>
      <c r="B98" s="48"/>
      <c r="C98" s="48"/>
      <c r="D98" s="48"/>
      <c r="E98" s="48"/>
      <c r="F98" s="48"/>
      <c r="G98" s="48"/>
      <c r="H98" s="48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8"/>
      <c r="B99" s="48"/>
      <c r="C99" s="48"/>
      <c r="D99" s="48"/>
      <c r="E99" s="48"/>
      <c r="F99" s="48"/>
      <c r="G99" s="48"/>
      <c r="H99" s="48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0.75" hidden="1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F3"/>
    <mergeCell ref="G3:H3"/>
    <mergeCell ref="I3:I4"/>
    <mergeCell ref="J3:J4"/>
    <mergeCell ref="K3:K4"/>
    <mergeCell ref="L3:L4"/>
    <mergeCell ref="B5:B6"/>
    <mergeCell ref="B7:B8"/>
    <mergeCell ref="B9:B10"/>
    <mergeCell ref="B11:B12"/>
    <mergeCell ref="B13:B14"/>
    <mergeCell ref="B15:B16"/>
    <mergeCell ref="A17:C17"/>
    <mergeCell ref="A28:D28"/>
    <mergeCell ref="A3:A4"/>
    <mergeCell ref="B3:B4"/>
    <mergeCell ref="C3:C4"/>
    <mergeCell ref="D3:D4"/>
    <mergeCell ref="A1:L1"/>
    <mergeCell ref="D2:F2"/>
    <mergeCell ref="K2:L2"/>
    <mergeCell ref="I2:J2"/>
  </mergeCells>
  <conditionalFormatting sqref="K5:K27">
    <cfRule type="cellIs" dxfId="0" priority="1" stopIfTrue="1" operator="greaterThanOrEqual">
      <formula>1</formula>
    </cfRule>
  </conditionalFormatting>
  <conditionalFormatting sqref="K5:K27">
    <cfRule type="cellIs" dxfId="1" priority="2" stopIfTrue="1" operator="lessThan">
      <formula>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25"/>
    <col customWidth="1" min="2" max="2" width="19.75"/>
    <col customWidth="1" min="3" max="3" width="22.0"/>
    <col customWidth="1" min="4" max="4" width="11.0"/>
    <col customWidth="1" min="5" max="6" width="18.13"/>
    <col customWidth="1" min="7" max="8" width="17.0"/>
    <col customWidth="1" min="9" max="9" width="7.5"/>
    <col customWidth="1" min="10" max="10" width="14.75"/>
    <col customWidth="1" min="11" max="11" width="12.5"/>
    <col customWidth="1" min="12" max="12" width="20.13"/>
    <col customWidth="1" min="13" max="26" width="10.5"/>
  </cols>
  <sheetData>
    <row r="1" ht="42.0" customHeight="1">
      <c r="A1" s="1" t="s">
        <v>21</v>
      </c>
      <c r="B1" s="2"/>
      <c r="C1" s="2"/>
      <c r="D1" s="2"/>
      <c r="E1" s="2"/>
      <c r="F1" s="2"/>
      <c r="G1" s="2"/>
      <c r="H1" s="3"/>
      <c r="J1" s="69" t="s">
        <v>22</v>
      </c>
      <c r="K1" s="69" t="s">
        <v>23</v>
      </c>
      <c r="L1" s="69" t="s">
        <v>24</v>
      </c>
    </row>
    <row r="2" ht="32.25" customHeight="1">
      <c r="A2" s="70" t="s">
        <v>25</v>
      </c>
      <c r="B2" s="6" t="s">
        <v>2</v>
      </c>
      <c r="C2" s="71" t="s">
        <v>26</v>
      </c>
      <c r="D2" s="6" t="s">
        <v>4</v>
      </c>
      <c r="E2" s="71" t="s">
        <v>27</v>
      </c>
      <c r="F2" s="72">
        <v>46296.0</v>
      </c>
      <c r="G2" s="71" t="s">
        <v>28</v>
      </c>
      <c r="H2" s="73">
        <v>26.0</v>
      </c>
      <c r="J2" s="74" t="s">
        <v>29</v>
      </c>
      <c r="K2" s="75">
        <v>11.06</v>
      </c>
      <c r="L2" s="74" t="s">
        <v>30</v>
      </c>
    </row>
    <row r="3" ht="27.0" customHeight="1">
      <c r="A3" s="76" t="s">
        <v>7</v>
      </c>
      <c r="B3" s="76" t="s">
        <v>8</v>
      </c>
      <c r="C3" s="76" t="s">
        <v>9</v>
      </c>
      <c r="D3" s="76" t="s">
        <v>10</v>
      </c>
      <c r="E3" s="76" t="s">
        <v>31</v>
      </c>
      <c r="F3" s="76" t="s">
        <v>32</v>
      </c>
      <c r="G3" s="76" t="s">
        <v>33</v>
      </c>
      <c r="H3" s="76" t="s">
        <v>34</v>
      </c>
      <c r="J3" s="77" t="s">
        <v>35</v>
      </c>
      <c r="K3" s="78">
        <v>0.43</v>
      </c>
      <c r="L3" s="77" t="s">
        <v>36</v>
      </c>
    </row>
    <row r="4" ht="18.0" customHeight="1">
      <c r="A4" s="79">
        <v>1.0</v>
      </c>
      <c r="B4" s="80" t="s">
        <v>37</v>
      </c>
      <c r="C4" s="81" t="s">
        <v>38</v>
      </c>
      <c r="D4" s="82"/>
      <c r="E4" s="83">
        <v>1.2</v>
      </c>
      <c r="F4" s="83"/>
      <c r="G4" s="83">
        <f t="shared" ref="G4:G15" si="1">ROUND(E4/$H$2,2)</f>
        <v>0.05</v>
      </c>
      <c r="H4" s="83" t="str">
        <f t="shared" ref="H4:H15" si="2">IF(F4="","",ROUND(F4/$H$2,2))</f>
        <v/>
      </c>
      <c r="J4" s="77" t="s">
        <v>39</v>
      </c>
      <c r="K4" s="78">
        <v>15.5</v>
      </c>
      <c r="L4" s="77" t="s">
        <v>40</v>
      </c>
    </row>
    <row r="5" ht="18.0" customHeight="1">
      <c r="A5" s="79">
        <v>2.0</v>
      </c>
      <c r="B5" s="13"/>
      <c r="C5" s="81" t="s">
        <v>41</v>
      </c>
      <c r="D5" s="82"/>
      <c r="E5" s="83">
        <v>0.9</v>
      </c>
      <c r="F5" s="83"/>
      <c r="G5" s="83">
        <f t="shared" si="1"/>
        <v>0.03</v>
      </c>
      <c r="H5" s="83" t="str">
        <f t="shared" si="2"/>
        <v/>
      </c>
      <c r="J5" s="77" t="s">
        <v>42</v>
      </c>
      <c r="K5" s="78">
        <v>0.6</v>
      </c>
      <c r="L5" s="77" t="s">
        <v>43</v>
      </c>
    </row>
    <row r="6" ht="18.0" customHeight="1">
      <c r="A6" s="79">
        <v>3.0</v>
      </c>
      <c r="B6" s="80" t="s">
        <v>44</v>
      </c>
      <c r="C6" s="81" t="s">
        <v>45</v>
      </c>
      <c r="D6" s="82"/>
      <c r="E6" s="83">
        <v>1.2</v>
      </c>
      <c r="F6" s="83"/>
      <c r="G6" s="83">
        <f t="shared" si="1"/>
        <v>0.05</v>
      </c>
      <c r="H6" s="83" t="str">
        <f t="shared" si="2"/>
        <v/>
      </c>
    </row>
    <row r="7" ht="18.0" customHeight="1">
      <c r="A7" s="79">
        <v>4.0</v>
      </c>
      <c r="B7" s="13"/>
      <c r="C7" s="81" t="s">
        <v>46</v>
      </c>
      <c r="D7" s="82"/>
      <c r="E7" s="83">
        <v>0.9</v>
      </c>
      <c r="F7" s="83"/>
      <c r="G7" s="83">
        <f t="shared" si="1"/>
        <v>0.03</v>
      </c>
      <c r="H7" s="83" t="str">
        <f t="shared" si="2"/>
        <v/>
      </c>
    </row>
    <row r="8" ht="18.0" customHeight="1">
      <c r="A8" s="79">
        <v>5.0</v>
      </c>
      <c r="B8" s="80" t="s">
        <v>47</v>
      </c>
      <c r="C8" s="81" t="s">
        <v>48</v>
      </c>
      <c r="D8" s="82"/>
      <c r="E8" s="83">
        <v>1.8</v>
      </c>
      <c r="F8" s="83"/>
      <c r="G8" s="83">
        <f t="shared" si="1"/>
        <v>0.07</v>
      </c>
      <c r="H8" s="83" t="str">
        <f t="shared" si="2"/>
        <v/>
      </c>
    </row>
    <row r="9" ht="18.0" customHeight="1">
      <c r="A9" s="79">
        <v>6.0</v>
      </c>
      <c r="B9" s="13"/>
      <c r="C9" s="81" t="s">
        <v>49</v>
      </c>
      <c r="D9" s="82"/>
      <c r="E9" s="83">
        <v>0.85</v>
      </c>
      <c r="F9" s="83"/>
      <c r="G9" s="83">
        <f t="shared" si="1"/>
        <v>0.03</v>
      </c>
      <c r="H9" s="83" t="str">
        <f t="shared" si="2"/>
        <v/>
      </c>
    </row>
    <row r="10" ht="18.0" customHeight="1">
      <c r="A10" s="79">
        <v>7.0</v>
      </c>
      <c r="B10" s="80" t="s">
        <v>50</v>
      </c>
      <c r="C10" s="81" t="s">
        <v>51</v>
      </c>
      <c r="D10" s="82"/>
      <c r="E10" s="83">
        <v>1.3</v>
      </c>
      <c r="F10" s="83"/>
      <c r="G10" s="83">
        <f t="shared" si="1"/>
        <v>0.05</v>
      </c>
      <c r="H10" s="83" t="str">
        <f t="shared" si="2"/>
        <v/>
      </c>
    </row>
    <row r="11" ht="18.0" customHeight="1">
      <c r="A11" s="79">
        <v>8.0</v>
      </c>
      <c r="B11" s="13"/>
      <c r="C11" s="81" t="s">
        <v>52</v>
      </c>
      <c r="D11" s="82"/>
      <c r="E11" s="83">
        <v>0.9</v>
      </c>
      <c r="F11" s="83"/>
      <c r="G11" s="83">
        <f t="shared" si="1"/>
        <v>0.03</v>
      </c>
      <c r="H11" s="83" t="str">
        <f t="shared" si="2"/>
        <v/>
      </c>
    </row>
    <row r="12" ht="18.0" customHeight="1">
      <c r="A12" s="79">
        <v>9.0</v>
      </c>
      <c r="B12" s="80" t="s">
        <v>53</v>
      </c>
      <c r="C12" s="81" t="s">
        <v>54</v>
      </c>
      <c r="D12" s="82"/>
      <c r="E12" s="83">
        <v>2.0</v>
      </c>
      <c r="F12" s="83"/>
      <c r="G12" s="83">
        <f t="shared" si="1"/>
        <v>0.08</v>
      </c>
      <c r="H12" s="83" t="str">
        <f t="shared" si="2"/>
        <v/>
      </c>
    </row>
    <row r="13" ht="18.0" customHeight="1">
      <c r="A13" s="79">
        <v>10.0</v>
      </c>
      <c r="B13" s="13"/>
      <c r="C13" s="81" t="s">
        <v>55</v>
      </c>
      <c r="D13" s="82"/>
      <c r="E13" s="83">
        <v>1.25</v>
      </c>
      <c r="F13" s="83"/>
      <c r="G13" s="83">
        <f t="shared" si="1"/>
        <v>0.05</v>
      </c>
      <c r="H13" s="83" t="str">
        <f t="shared" si="2"/>
        <v/>
      </c>
    </row>
    <row r="14" ht="18.0" customHeight="1">
      <c r="A14" s="79">
        <v>11.0</v>
      </c>
      <c r="B14" s="80" t="s">
        <v>56</v>
      </c>
      <c r="C14" s="81" t="s">
        <v>57</v>
      </c>
      <c r="D14" s="82"/>
      <c r="E14" s="83">
        <v>1.3</v>
      </c>
      <c r="F14" s="83"/>
      <c r="G14" s="83">
        <f t="shared" si="1"/>
        <v>0.05</v>
      </c>
      <c r="H14" s="83" t="str">
        <f t="shared" si="2"/>
        <v/>
      </c>
    </row>
    <row r="15" ht="18.0" customHeight="1">
      <c r="A15" s="79">
        <v>12.0</v>
      </c>
      <c r="B15" s="13"/>
      <c r="C15" s="81" t="s">
        <v>2</v>
      </c>
      <c r="D15" s="82"/>
      <c r="E15" s="83">
        <v>1.9</v>
      </c>
      <c r="F15" s="83"/>
      <c r="G15" s="83">
        <f t="shared" si="1"/>
        <v>0.07</v>
      </c>
      <c r="H15" s="83" t="str">
        <f t="shared" si="2"/>
        <v/>
      </c>
    </row>
    <row r="16" ht="18.0" customHeight="1">
      <c r="A16" s="84" t="s">
        <v>19</v>
      </c>
      <c r="B16" s="2"/>
      <c r="C16" s="3"/>
      <c r="D16" s="85" t="str">
        <f>IF(COUNT(D4:D15)=0,"",SUM(D4:D15))</f>
        <v/>
      </c>
      <c r="E16" s="86">
        <f>SUM(E4:E15)</f>
        <v>15.5</v>
      </c>
      <c r="F16" s="86" t="str">
        <f>IF(COUNT(F4:F15)=0,"",SUM(F4:F15))</f>
        <v/>
      </c>
      <c r="G16" s="86">
        <f>SUM(G4:G15)</f>
        <v>0.59</v>
      </c>
      <c r="H16" s="86" t="str">
        <f>IF(COUNT(H4:H15)=0,"",SUM(H4:H15))</f>
        <v/>
      </c>
    </row>
    <row r="17" ht="18.0" customHeight="1">
      <c r="A17" s="87" t="s">
        <v>58</v>
      </c>
      <c r="B17" s="88"/>
      <c r="C17" s="89"/>
      <c r="D17" s="90"/>
      <c r="E17" s="91"/>
      <c r="F17" s="91"/>
      <c r="G17" s="91">
        <f>ROUND(E16/$H$2,2)</f>
        <v>0.6</v>
      </c>
      <c r="H17" s="91" t="str">
        <f>IF(F16="","",ROUND(F16/$H$2,2))</f>
        <v/>
      </c>
    </row>
    <row r="18" ht="18.0" customHeight="1">
      <c r="A18" s="92"/>
      <c r="B18" s="93"/>
      <c r="C18" s="93"/>
      <c r="D18" s="94"/>
      <c r="E18" s="94"/>
      <c r="F18" s="94"/>
      <c r="G18" s="94"/>
      <c r="H18" s="94"/>
    </row>
    <row r="19" ht="18.0" customHeight="1">
      <c r="A19" s="92"/>
      <c r="B19" s="93"/>
      <c r="C19" s="93"/>
      <c r="D19" s="94"/>
      <c r="E19" s="94"/>
      <c r="F19" s="94"/>
      <c r="G19" s="94"/>
      <c r="H19" s="94"/>
    </row>
    <row r="20" ht="18.0" customHeight="1">
      <c r="A20" s="92"/>
      <c r="B20" s="93"/>
      <c r="C20" s="93"/>
      <c r="D20" s="94"/>
      <c r="E20" s="94"/>
      <c r="F20" s="94"/>
      <c r="G20" s="94"/>
      <c r="H20" s="94"/>
    </row>
    <row r="21" ht="18.0" customHeight="1">
      <c r="A21" s="92"/>
      <c r="B21" s="93"/>
      <c r="C21" s="93"/>
      <c r="D21" s="94"/>
      <c r="E21" s="94"/>
      <c r="F21" s="94"/>
      <c r="G21" s="94"/>
      <c r="H21" s="94"/>
    </row>
    <row r="22" ht="18.0" customHeight="1">
      <c r="A22" s="92"/>
      <c r="B22" s="93"/>
      <c r="C22" s="93"/>
      <c r="D22" s="94"/>
      <c r="E22" s="94"/>
      <c r="F22" s="94"/>
      <c r="G22" s="94"/>
      <c r="H22" s="94"/>
    </row>
    <row r="23" ht="18.0" customHeight="1">
      <c r="A23" s="92"/>
      <c r="B23" s="93"/>
      <c r="C23" s="93"/>
      <c r="D23" s="94"/>
      <c r="E23" s="94"/>
      <c r="F23" s="94"/>
      <c r="G23" s="94"/>
      <c r="H23" s="94"/>
    </row>
    <row r="24" ht="18.0" customHeight="1">
      <c r="A24" s="92"/>
      <c r="B24" s="93"/>
      <c r="C24" s="93"/>
      <c r="D24" s="94"/>
      <c r="E24" s="94"/>
      <c r="F24" s="94"/>
      <c r="G24" s="94"/>
      <c r="H24" s="94"/>
    </row>
    <row r="25" ht="18.0" customHeight="1">
      <c r="A25" s="92"/>
      <c r="B25" s="93"/>
      <c r="C25" s="93"/>
      <c r="D25" s="94"/>
      <c r="E25" s="94"/>
      <c r="F25" s="94"/>
      <c r="G25" s="94"/>
      <c r="H25" s="94"/>
    </row>
    <row r="26" ht="18.0" customHeight="1">
      <c r="A26" s="92"/>
      <c r="B26" s="93"/>
      <c r="C26" s="93"/>
      <c r="D26" s="94"/>
      <c r="E26" s="94"/>
      <c r="F26" s="94"/>
      <c r="G26" s="94"/>
      <c r="H26" s="94"/>
    </row>
    <row r="27" ht="18.0" customHeight="1">
      <c r="A27" s="95"/>
      <c r="B27" s="42"/>
      <c r="C27" s="43"/>
      <c r="D27" s="96"/>
      <c r="E27" s="96"/>
      <c r="F27" s="96"/>
      <c r="G27" s="96"/>
      <c r="H27" s="96"/>
    </row>
    <row r="28" ht="18.0" customHeight="1">
      <c r="A28" s="95"/>
      <c r="B28" s="42"/>
      <c r="C28" s="42"/>
      <c r="D28" s="43"/>
      <c r="E28" s="96"/>
      <c r="F28" s="96"/>
      <c r="G28" s="96"/>
      <c r="H28" s="96"/>
    </row>
    <row r="29" ht="14.25" customHeight="1">
      <c r="A29" s="97"/>
      <c r="B29" s="97"/>
      <c r="C29" s="97"/>
      <c r="D29" s="97"/>
      <c r="E29" s="97"/>
      <c r="F29" s="97"/>
      <c r="G29" s="97"/>
      <c r="H29" s="97"/>
    </row>
    <row r="30" ht="14.25" customHeight="1">
      <c r="A30" s="97"/>
      <c r="B30" s="97"/>
      <c r="C30" s="97"/>
      <c r="D30" s="97"/>
      <c r="E30" s="97"/>
      <c r="F30" s="97"/>
      <c r="G30" s="97"/>
      <c r="H30" s="97"/>
    </row>
    <row r="31" ht="14.25" customHeight="1">
      <c r="A31" s="97"/>
      <c r="B31" s="97"/>
      <c r="C31" s="97"/>
      <c r="D31" s="97"/>
      <c r="E31" s="97"/>
      <c r="F31" s="97"/>
      <c r="G31" s="97"/>
      <c r="H31" s="97"/>
    </row>
    <row r="32" ht="14.25" customHeight="1">
      <c r="A32" s="97"/>
      <c r="B32" s="97"/>
      <c r="C32" s="97"/>
      <c r="D32" s="97"/>
      <c r="E32" s="97"/>
      <c r="F32" s="97"/>
      <c r="G32" s="97"/>
      <c r="H32" s="97"/>
    </row>
    <row r="33" ht="14.25" customHeight="1">
      <c r="A33" s="97"/>
      <c r="B33" s="97"/>
      <c r="C33" s="97"/>
      <c r="D33" s="97"/>
      <c r="E33" s="97"/>
      <c r="F33" s="97"/>
      <c r="G33" s="97"/>
      <c r="H33" s="97"/>
    </row>
    <row r="34" ht="14.25" customHeight="1">
      <c r="A34" s="97"/>
      <c r="B34" s="97"/>
      <c r="C34" s="97"/>
      <c r="D34" s="97"/>
      <c r="E34" s="97"/>
      <c r="F34" s="97"/>
      <c r="G34" s="97"/>
      <c r="H34" s="97"/>
    </row>
    <row r="35" ht="14.25" customHeight="1">
      <c r="A35" s="97"/>
      <c r="B35" s="97"/>
      <c r="C35" s="97"/>
      <c r="D35" s="97"/>
      <c r="E35" s="97"/>
      <c r="F35" s="97"/>
      <c r="G35" s="97"/>
      <c r="H35" s="97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6:C16"/>
    <mergeCell ref="A17:C17"/>
    <mergeCell ref="A27:C27"/>
    <mergeCell ref="A28:D28"/>
    <mergeCell ref="A1:H1"/>
    <mergeCell ref="B4:B5"/>
    <mergeCell ref="B6:B7"/>
    <mergeCell ref="B8:B9"/>
    <mergeCell ref="B10:B11"/>
    <mergeCell ref="B12:B13"/>
    <mergeCell ref="B14:B15"/>
  </mergeCells>
  <printOptions/>
  <pageMargins bottom="0.75" footer="0.0" header="0.0" left="0.7" right="0.7" top="0.75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63"/>
    <col customWidth="1" min="2" max="2" width="18.75"/>
    <col customWidth="1" min="3" max="3" width="20.88"/>
    <col customWidth="1" min="4" max="5" width="14.38"/>
    <col customWidth="1" min="6" max="8" width="14.88"/>
    <col customWidth="1" min="9" max="9" width="14.38"/>
    <col customWidth="1" min="10" max="11" width="13.25"/>
    <col customWidth="1" min="12" max="12" width="14.88"/>
    <col customWidth="1" min="13" max="13" width="16.0"/>
    <col customWidth="1" min="14" max="14" width="14.88"/>
    <col customWidth="1" min="15" max="26" width="10.5"/>
  </cols>
  <sheetData>
    <row r="1" ht="42.0" customHeight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2.25" customHeight="1">
      <c r="A2" s="98" t="s">
        <v>25</v>
      </c>
      <c r="B2" s="99" t="s">
        <v>2</v>
      </c>
      <c r="C2" s="100" t="s">
        <v>26</v>
      </c>
      <c r="D2" s="99" t="s">
        <v>4</v>
      </c>
      <c r="E2" s="100" t="s">
        <v>60</v>
      </c>
      <c r="F2" s="101">
        <f>Target!H2</f>
        <v>26</v>
      </c>
      <c r="G2" s="100" t="s">
        <v>61</v>
      </c>
      <c r="H2" s="101">
        <f>(N('1'!I17)&gt;0)+(N('3'!I17)&gt;0)+(N('4'!I17)&gt;0)+(N('5'!I17)&gt;0)+(N('6'!I17)&gt;0)+(N('7'!I17)&gt;0)+(N('8'!I17)&gt;0)+(N('10'!I17)&gt;0)+(N('11'!I17)&gt;0)+(N('12'!I17)&gt;0)+(N('13'!I17)&gt;0)+(N('14'!I17)&gt;0)+(N('15'!I17)&gt;0)+(N('17'!I17)&gt;0)+(N('18'!I17)&gt;0)+(N('19'!I17)&gt;0)+(N('20'!I17)&gt;0)+(N('21'!I17)&gt;0)+(N('22'!I17)&gt;0)+(N('24'!I17)&gt;0)+(N('25'!I17)&gt;0)+(N('26'!I17)&gt;0)+(N('27'!I17)&gt;0)+(N('28'!I17)&gt;0)+(N('29'!I17)&gt;0)+(N('31'!I17)&gt;0)</f>
        <v>19</v>
      </c>
      <c r="I2" s="100" t="s">
        <v>62</v>
      </c>
      <c r="J2" s="101">
        <f>F2-H2</f>
        <v>7</v>
      </c>
      <c r="K2" s="100" t="s">
        <v>63</v>
      </c>
      <c r="L2" s="102">
        <f>TODAY()</f>
        <v>46318</v>
      </c>
      <c r="M2" s="2"/>
      <c r="N2" s="3"/>
    </row>
    <row r="3" ht="28.5" customHeight="1">
      <c r="A3" s="76" t="s">
        <v>7</v>
      </c>
      <c r="B3" s="76" t="s">
        <v>8</v>
      </c>
      <c r="C3" s="76" t="s">
        <v>9</v>
      </c>
      <c r="D3" s="76" t="s">
        <v>64</v>
      </c>
      <c r="E3" s="76" t="s">
        <v>65</v>
      </c>
      <c r="F3" s="76" t="s">
        <v>66</v>
      </c>
      <c r="G3" s="76" t="s">
        <v>67</v>
      </c>
      <c r="H3" s="76" t="s">
        <v>68</v>
      </c>
      <c r="I3" s="76" t="s">
        <v>69</v>
      </c>
      <c r="J3" s="76" t="s">
        <v>70</v>
      </c>
      <c r="K3" s="76" t="s">
        <v>71</v>
      </c>
      <c r="L3" s="76" t="s">
        <v>72</v>
      </c>
      <c r="M3" s="76" t="s">
        <v>73</v>
      </c>
      <c r="N3" s="76" t="s">
        <v>74</v>
      </c>
    </row>
    <row r="4" ht="18.0" customHeight="1">
      <c r="A4" s="79">
        <f>Target!A4</f>
        <v>1</v>
      </c>
      <c r="B4" s="80" t="str">
        <f>Target!B4</f>
        <v>Karim</v>
      </c>
      <c r="C4" s="81" t="str">
        <f>Target!C4</f>
        <v>Kesua</v>
      </c>
      <c r="D4" s="83">
        <f>Target!E4+N(Target!F4)</f>
        <v>1.2</v>
      </c>
      <c r="E4" s="83">
        <f>(Target!G4+N(Target!H4))*$H$2</f>
        <v>0.95</v>
      </c>
      <c r="F4" s="83">
        <f>SUM('1'!G5,'2'!G5,'3'!G5,'4'!G5,'5'!G5,'6'!G5,'7'!G5,'8'!G5,'9'!G5,'10'!G5,'11'!G5,'12'!G5,'13'!G5,'14'!G5,'15'!G5,'16'!G5,'17'!G5,'18'!G5,'19'!G5,'20'!G5,'21'!G5,'22'!G5,'23'!G5,'24'!G5,'25'!G5,'26'!G5,'27'!G5,'28'!G5,'29'!G5,'30'!G5,'31'!G5)</f>
        <v>0.61</v>
      </c>
      <c r="G4" s="83">
        <f>SUM('1'!H5,'2'!H5,'3'!H5,'4'!H5,'5'!H5,'6'!H5,'7'!H5,'8'!H5,'9'!H5,'10'!H5,'11'!H5,'12'!H5,'13'!H5,'14'!H5,'15'!H5,'16'!H5,'17'!H5,'18'!H5,'19'!H5,'20'!H5,'21'!H5,'22'!H5,'23'!H5,'24'!H5,'25'!H5,'26'!H5,'27'!H5,'28'!H5,'29'!H5,'30'!H5,'31'!H5)</f>
        <v>0</v>
      </c>
      <c r="H4" s="83">
        <f t="shared" ref="H4:H15" si="1">F4+G4</f>
        <v>0.61</v>
      </c>
      <c r="I4" s="83">
        <f t="shared" ref="I4:I16" si="2">H4-E4</f>
        <v>-0.34</v>
      </c>
      <c r="J4" s="103">
        <f t="shared" ref="J4:J16" si="3">IFERROR(H4/E4,0)</f>
        <v>0.6421052632</v>
      </c>
      <c r="K4" s="83">
        <f t="shared" ref="K4:K16" si="4">IFERROR(H4/$H$2,0)</f>
        <v>0.03210526316</v>
      </c>
      <c r="L4" s="83">
        <f t="shared" ref="L4:L16" si="5">IF($J$2&gt;0,IFERROR(MAX(0,D4-H4)/$J$2,0),0)</f>
        <v>0.08428571429</v>
      </c>
      <c r="M4" s="83">
        <f t="shared" ref="M4:M15" si="6">ROUND(K4*$F$2,2)</f>
        <v>0.83</v>
      </c>
      <c r="N4" s="103">
        <f t="shared" ref="N4:N16" si="7">IFERROR(M4/D4,0)</f>
        <v>0.6916666667</v>
      </c>
    </row>
    <row r="5" ht="18.0" customHeight="1">
      <c r="A5" s="79">
        <f>Target!A5</f>
        <v>2</v>
      </c>
      <c r="B5" s="13"/>
      <c r="C5" s="81" t="str">
        <f>Target!C5</f>
        <v>Moulvi Bazar</v>
      </c>
      <c r="D5" s="83">
        <f>Target!E5+N(Target!F5)</f>
        <v>0.9</v>
      </c>
      <c r="E5" s="83">
        <f>(Target!G5+N(Target!H5))*$H$2</f>
        <v>0.57</v>
      </c>
      <c r="F5" s="83">
        <f>SUM('1'!G6,'2'!G6,'3'!G6,'4'!G6,'5'!G6,'6'!G6,'7'!G6,'8'!G6,'9'!G6,'10'!G6,'11'!G6,'12'!G6,'13'!G6,'14'!G6,'15'!G6,'16'!G6,'17'!G6,'18'!G6,'19'!G6,'20'!G6,'21'!G6,'22'!G6,'23'!G6,'24'!G6,'25'!G6,'26'!G6,'27'!G6,'28'!G6,'29'!G6,'30'!G6,'31'!G6)</f>
        <v>0.44</v>
      </c>
      <c r="G5" s="83">
        <f>SUM('1'!H6,'2'!H6,'3'!H6,'4'!H6,'5'!H6,'6'!H6,'7'!H6,'8'!H6,'9'!H6,'10'!H6,'11'!H6,'12'!H6,'13'!H6,'14'!H6,'15'!H6,'16'!H6,'17'!H6,'18'!H6,'19'!H6,'20'!H6,'21'!H6,'22'!H6,'23'!H6,'24'!H6,'25'!H6,'26'!H6,'27'!H6,'28'!H6,'29'!H6,'30'!H6,'31'!H6)</f>
        <v>0</v>
      </c>
      <c r="H5" s="83">
        <f t="shared" si="1"/>
        <v>0.44</v>
      </c>
      <c r="I5" s="83">
        <f t="shared" si="2"/>
        <v>-0.13</v>
      </c>
      <c r="J5" s="103">
        <f t="shared" si="3"/>
        <v>0.7719298246</v>
      </c>
      <c r="K5" s="83">
        <f t="shared" si="4"/>
        <v>0.02315789474</v>
      </c>
      <c r="L5" s="83">
        <f t="shared" si="5"/>
        <v>0.06571428571</v>
      </c>
      <c r="M5" s="83">
        <f t="shared" si="6"/>
        <v>0.6</v>
      </c>
      <c r="N5" s="103">
        <f t="shared" si="7"/>
        <v>0.6666666667</v>
      </c>
    </row>
    <row r="6" ht="18.0" customHeight="1">
      <c r="A6" s="79">
        <f>Target!A6</f>
        <v>3</v>
      </c>
      <c r="B6" s="80" t="str">
        <f>Target!B6</f>
        <v>Jabed</v>
      </c>
      <c r="C6" s="81" t="str">
        <f>Target!C6</f>
        <v>Char Barama</v>
      </c>
      <c r="D6" s="83">
        <f>Target!E6+N(Target!F6)</f>
        <v>1.2</v>
      </c>
      <c r="E6" s="83">
        <f>(Target!G6+N(Target!H6))*$H$2</f>
        <v>0.95</v>
      </c>
      <c r="F6" s="83">
        <f>SUM('1'!G7,'2'!G7,'3'!G7,'4'!G7,'5'!G7,'6'!G7,'7'!G7,'8'!G7,'9'!G7,'10'!G7,'11'!G7,'12'!G7,'13'!G7,'14'!G7,'15'!G7,'16'!G7,'17'!G7,'18'!G7,'19'!G7,'20'!G7,'21'!G7,'22'!G7,'23'!G7,'24'!G7,'25'!G7,'26'!G7,'27'!G7,'28'!G7,'29'!G7,'30'!G7,'31'!G7)</f>
        <v>0.56</v>
      </c>
      <c r="G6" s="83">
        <f>SUM('1'!H7,'2'!H7,'3'!H7,'4'!H7,'5'!H7,'6'!H7,'7'!H7,'8'!H7,'9'!H7,'10'!H7,'11'!H7,'12'!H7,'13'!H7,'14'!H7,'15'!H7,'16'!H7,'17'!H7,'18'!H7,'19'!H7,'20'!H7,'21'!H7,'22'!H7,'23'!H7,'24'!H7,'25'!H7,'26'!H7,'27'!H7,'28'!H7,'29'!H7,'30'!H7,'31'!H7)</f>
        <v>0</v>
      </c>
      <c r="H6" s="83">
        <f t="shared" si="1"/>
        <v>0.56</v>
      </c>
      <c r="I6" s="83">
        <f t="shared" si="2"/>
        <v>-0.39</v>
      </c>
      <c r="J6" s="103">
        <f t="shared" si="3"/>
        <v>0.5894736842</v>
      </c>
      <c r="K6" s="83">
        <f t="shared" si="4"/>
        <v>0.02947368421</v>
      </c>
      <c r="L6" s="83">
        <f t="shared" si="5"/>
        <v>0.09142857143</v>
      </c>
      <c r="M6" s="83">
        <f t="shared" si="6"/>
        <v>0.77</v>
      </c>
      <c r="N6" s="103">
        <f t="shared" si="7"/>
        <v>0.6416666667</v>
      </c>
    </row>
    <row r="7" ht="18.0" customHeight="1">
      <c r="A7" s="79">
        <f>Target!A7</f>
        <v>4</v>
      </c>
      <c r="B7" s="13"/>
      <c r="C7" s="81" t="str">
        <f>Target!C7</f>
        <v>Pukur Par</v>
      </c>
      <c r="D7" s="83">
        <f>Target!E7+N(Target!F7)</f>
        <v>0.9</v>
      </c>
      <c r="E7" s="83">
        <f>(Target!G7+N(Target!H7))*$H$2</f>
        <v>0.57</v>
      </c>
      <c r="F7" s="83">
        <f>SUM('1'!G8,'2'!G8,'3'!G8,'4'!G8,'5'!G8,'6'!G8,'7'!G8,'8'!G8,'9'!G8,'10'!G8,'11'!G8,'12'!G8,'13'!G8,'14'!G8,'15'!G8,'16'!G8,'17'!G8,'18'!G8,'19'!G8,'20'!G8,'21'!G8,'22'!G8,'23'!G8,'24'!G8,'25'!G8,'26'!G8,'27'!G8,'28'!G8,'29'!G8,'30'!G8,'31'!G8)</f>
        <v>0.55</v>
      </c>
      <c r="G7" s="83">
        <f>SUM('1'!H8,'2'!H8,'3'!H8,'4'!H8,'5'!H8,'6'!H8,'7'!H8,'8'!H8,'9'!H8,'10'!H8,'11'!H8,'12'!H8,'13'!H8,'14'!H8,'15'!H8,'16'!H8,'17'!H8,'18'!H8,'19'!H8,'20'!H8,'21'!H8,'22'!H8,'23'!H8,'24'!H8,'25'!H8,'26'!H8,'27'!H8,'28'!H8,'29'!H8,'30'!H8,'31'!H8)</f>
        <v>0</v>
      </c>
      <c r="H7" s="83">
        <f t="shared" si="1"/>
        <v>0.55</v>
      </c>
      <c r="I7" s="83">
        <f t="shared" si="2"/>
        <v>-0.02</v>
      </c>
      <c r="J7" s="103">
        <f t="shared" si="3"/>
        <v>0.9649122807</v>
      </c>
      <c r="K7" s="83">
        <f t="shared" si="4"/>
        <v>0.02894736842</v>
      </c>
      <c r="L7" s="83">
        <f t="shared" si="5"/>
        <v>0.05</v>
      </c>
      <c r="M7" s="83">
        <f t="shared" si="6"/>
        <v>0.75</v>
      </c>
      <c r="N7" s="103">
        <f t="shared" si="7"/>
        <v>0.8333333333</v>
      </c>
    </row>
    <row r="8" ht="18.0" customHeight="1">
      <c r="A8" s="79">
        <f>Target!A8</f>
        <v>5</v>
      </c>
      <c r="B8" s="80" t="str">
        <f>Target!B8</f>
        <v>Anowar</v>
      </c>
      <c r="C8" s="81" t="str">
        <f>Target!C8</f>
        <v>Dhamair Hat</v>
      </c>
      <c r="D8" s="83">
        <f>Target!E8+N(Target!F8)</f>
        <v>1.8</v>
      </c>
      <c r="E8" s="83">
        <f>(Target!G8+N(Target!H8))*$H$2</f>
        <v>1.33</v>
      </c>
      <c r="F8" s="83">
        <f>SUM('1'!G9,'2'!G9,'3'!G9,'4'!G9,'5'!G9,'6'!G9,'7'!G9,'8'!G9,'9'!G9,'10'!G9,'11'!G9,'12'!G9,'13'!G9,'14'!G9,'15'!G9,'16'!G9,'17'!G9,'18'!G9,'19'!G9,'20'!G9,'21'!G9,'22'!G9,'23'!G9,'24'!G9,'25'!G9,'26'!G9,'27'!G9,'28'!G9,'29'!G9,'30'!G9,'31'!G9)</f>
        <v>0.66</v>
      </c>
      <c r="G8" s="83">
        <f>SUM('1'!H9,'2'!H9,'3'!H9,'4'!H9,'5'!H9,'6'!H9,'7'!H9,'8'!H9,'9'!H9,'10'!H9,'11'!H9,'12'!H9,'13'!H9,'14'!H9,'15'!H9,'16'!H9,'17'!H9,'18'!H9,'19'!H9,'20'!H9,'21'!H9,'22'!H9,'23'!H9,'24'!H9,'25'!H9,'26'!H9,'27'!H9,'28'!H9,'29'!H9,'30'!H9,'31'!H9)</f>
        <v>0</v>
      </c>
      <c r="H8" s="83">
        <f t="shared" si="1"/>
        <v>0.66</v>
      </c>
      <c r="I8" s="83">
        <f t="shared" si="2"/>
        <v>-0.67</v>
      </c>
      <c r="J8" s="103">
        <f t="shared" si="3"/>
        <v>0.4962406015</v>
      </c>
      <c r="K8" s="83">
        <f t="shared" si="4"/>
        <v>0.03473684211</v>
      </c>
      <c r="L8" s="83">
        <f t="shared" si="5"/>
        <v>0.1628571429</v>
      </c>
      <c r="M8" s="83">
        <f t="shared" si="6"/>
        <v>0.9</v>
      </c>
      <c r="N8" s="103">
        <f t="shared" si="7"/>
        <v>0.5</v>
      </c>
    </row>
    <row r="9" ht="18.0" customHeight="1">
      <c r="A9" s="79">
        <f>Target!A9</f>
        <v>6</v>
      </c>
      <c r="B9" s="13"/>
      <c r="C9" s="81" t="str">
        <f>Target!C9</f>
        <v>Chomuda para</v>
      </c>
      <c r="D9" s="83">
        <f>Target!E9+N(Target!F9)</f>
        <v>0.85</v>
      </c>
      <c r="E9" s="83">
        <f>(Target!G9+N(Target!H9))*$H$2</f>
        <v>0.57</v>
      </c>
      <c r="F9" s="83">
        <f>SUM('1'!G10,'2'!G10,'3'!G10,'4'!G10,'5'!G10,'6'!G10,'7'!G10,'8'!G10,'9'!G10,'10'!G10,'11'!G10,'12'!G10,'13'!G10,'14'!G10,'15'!G10,'16'!G10,'17'!G10,'18'!G10,'19'!G10,'20'!G10,'21'!G10,'22'!G10,'23'!G10,'24'!G10,'25'!G10,'26'!G10,'27'!G10,'28'!G10,'29'!G10,'30'!G10,'31'!G10)</f>
        <v>0.91</v>
      </c>
      <c r="G9" s="83">
        <f>SUM('1'!H10,'2'!H10,'3'!H10,'4'!H10,'5'!H10,'6'!H10,'7'!H10,'8'!H10,'9'!H10,'10'!H10,'11'!H10,'12'!H10,'13'!H10,'14'!H10,'15'!H10,'16'!H10,'17'!H10,'18'!H10,'19'!H10,'20'!H10,'21'!H10,'22'!H10,'23'!H10,'24'!H10,'25'!H10,'26'!H10,'27'!H10,'28'!H10,'29'!H10,'30'!H10,'31'!H10)</f>
        <v>0</v>
      </c>
      <c r="H9" s="83">
        <f t="shared" si="1"/>
        <v>0.91</v>
      </c>
      <c r="I9" s="83">
        <f t="shared" si="2"/>
        <v>0.34</v>
      </c>
      <c r="J9" s="103">
        <f t="shared" si="3"/>
        <v>1.596491228</v>
      </c>
      <c r="K9" s="83">
        <f t="shared" si="4"/>
        <v>0.04789473684</v>
      </c>
      <c r="L9" s="83">
        <f t="shared" si="5"/>
        <v>0</v>
      </c>
      <c r="M9" s="83">
        <f t="shared" si="6"/>
        <v>1.25</v>
      </c>
      <c r="N9" s="103">
        <f t="shared" si="7"/>
        <v>1.470588235</v>
      </c>
    </row>
    <row r="10" ht="18.0" customHeight="1">
      <c r="A10" s="79">
        <f>Target!A10</f>
        <v>7</v>
      </c>
      <c r="B10" s="80" t="str">
        <f>Target!B10</f>
        <v>Tahasin</v>
      </c>
      <c r="C10" s="81" t="str">
        <f>Target!C10</f>
        <v>Harala</v>
      </c>
      <c r="D10" s="83">
        <f>Target!E10+N(Target!F10)</f>
        <v>1.3</v>
      </c>
      <c r="E10" s="83">
        <f>(Target!G10+N(Target!H10))*$H$2</f>
        <v>0.95</v>
      </c>
      <c r="F10" s="83">
        <f>SUM('1'!G11,'2'!G11,'3'!G11,'4'!G11,'5'!G11,'6'!G11,'7'!G11,'8'!G11,'9'!G11,'10'!G11,'11'!G11,'12'!G11,'13'!G11,'14'!G11,'15'!G11,'16'!G11,'17'!G11,'18'!G11,'19'!G11,'20'!G11,'21'!G11,'22'!G11,'23'!G11,'24'!G11,'25'!G11,'26'!G11,'27'!G11,'28'!G11,'29'!G11,'30'!G11,'31'!G11)</f>
        <v>0.41</v>
      </c>
      <c r="G10" s="83">
        <f>SUM('1'!H11,'2'!H11,'3'!H11,'4'!H11,'5'!H11,'6'!H11,'7'!H11,'8'!H11,'9'!H11,'10'!H11,'11'!H11,'12'!H11,'13'!H11,'14'!H11,'15'!H11,'16'!H11,'17'!H11,'18'!H11,'19'!H11,'20'!H11,'21'!H11,'22'!H11,'23'!H11,'24'!H11,'25'!H11,'26'!H11,'27'!H11,'28'!H11,'29'!H11,'30'!H11,'31'!H11)</f>
        <v>0</v>
      </c>
      <c r="H10" s="83">
        <f t="shared" si="1"/>
        <v>0.41</v>
      </c>
      <c r="I10" s="83">
        <f t="shared" si="2"/>
        <v>-0.54</v>
      </c>
      <c r="J10" s="103">
        <f t="shared" si="3"/>
        <v>0.4315789474</v>
      </c>
      <c r="K10" s="83">
        <f t="shared" si="4"/>
        <v>0.02157894737</v>
      </c>
      <c r="L10" s="83">
        <f t="shared" si="5"/>
        <v>0.1271428571</v>
      </c>
      <c r="M10" s="83">
        <f t="shared" si="6"/>
        <v>0.56</v>
      </c>
      <c r="N10" s="103">
        <f t="shared" si="7"/>
        <v>0.4307692308</v>
      </c>
    </row>
    <row r="11" ht="18.0" customHeight="1">
      <c r="A11" s="79">
        <f>Target!A11</f>
        <v>8</v>
      </c>
      <c r="B11" s="13"/>
      <c r="C11" s="81" t="str">
        <f>Target!C11</f>
        <v>Nazir Hat</v>
      </c>
      <c r="D11" s="83">
        <f>Target!E11+N(Target!F11)</f>
        <v>0.9</v>
      </c>
      <c r="E11" s="83">
        <f>(Target!G11+N(Target!H11))*$H$2</f>
        <v>0.57</v>
      </c>
      <c r="F11" s="83">
        <f>SUM('1'!G12,'2'!G12,'3'!G12,'4'!G12,'5'!G12,'6'!G12,'7'!G12,'8'!G12,'9'!G12,'10'!G12,'11'!G12,'12'!G12,'13'!G12,'14'!G12,'15'!G12,'16'!G12,'17'!G12,'18'!G12,'19'!G12,'20'!G12,'21'!G12,'22'!G12,'23'!G12,'24'!G12,'25'!G12,'26'!G12,'27'!G12,'28'!G12,'29'!G12,'30'!G12,'31'!G12)</f>
        <v>0.51</v>
      </c>
      <c r="G11" s="83">
        <f>SUM('1'!H12,'2'!H12,'3'!H12,'4'!H12,'5'!H12,'6'!H12,'7'!H12,'8'!H12,'9'!H12,'10'!H12,'11'!H12,'12'!H12,'13'!H12,'14'!H12,'15'!H12,'16'!H12,'17'!H12,'18'!H12,'19'!H12,'20'!H12,'21'!H12,'22'!H12,'23'!H12,'24'!H12,'25'!H12,'26'!H12,'27'!H12,'28'!H12,'29'!H12,'30'!H12,'31'!H12)</f>
        <v>0</v>
      </c>
      <c r="H11" s="83">
        <f t="shared" si="1"/>
        <v>0.51</v>
      </c>
      <c r="I11" s="83">
        <f t="shared" si="2"/>
        <v>-0.06</v>
      </c>
      <c r="J11" s="103">
        <f t="shared" si="3"/>
        <v>0.8947368421</v>
      </c>
      <c r="K11" s="83">
        <f t="shared" si="4"/>
        <v>0.02684210526</v>
      </c>
      <c r="L11" s="83">
        <f t="shared" si="5"/>
        <v>0.05571428571</v>
      </c>
      <c r="M11" s="83">
        <f t="shared" si="6"/>
        <v>0.7</v>
      </c>
      <c r="N11" s="103">
        <f t="shared" si="7"/>
        <v>0.7777777778</v>
      </c>
    </row>
    <row r="12" ht="18.0" customHeight="1">
      <c r="A12" s="79">
        <f>Target!A12</f>
        <v>9</v>
      </c>
      <c r="B12" s="80" t="str">
        <f>Target!B12</f>
        <v>Amir</v>
      </c>
      <c r="C12" s="81" t="str">
        <f>Target!C12</f>
        <v>khan Hat</v>
      </c>
      <c r="D12" s="83">
        <f>Target!E12+N(Target!F12)</f>
        <v>2</v>
      </c>
      <c r="E12" s="83">
        <f>(Target!G12+N(Target!H12))*$H$2</f>
        <v>1.52</v>
      </c>
      <c r="F12" s="83">
        <f>SUM('1'!G13,'2'!G13,'3'!G13,'4'!G13,'5'!G13,'6'!G13,'7'!G13,'8'!G13,'9'!G13,'10'!G13,'11'!G13,'12'!G13,'13'!G13,'14'!G13,'15'!G13,'16'!G13,'17'!G13,'18'!G13,'19'!G13,'20'!G13,'21'!G13,'22'!G13,'23'!G13,'24'!G13,'25'!G13,'26'!G13,'27'!G13,'28'!G13,'29'!G13,'30'!G13,'31'!G13)</f>
        <v>0.77</v>
      </c>
      <c r="G12" s="83">
        <f>SUM('1'!H13,'2'!H13,'3'!H13,'4'!H13,'5'!H13,'6'!H13,'7'!H13,'8'!H13,'9'!H13,'10'!H13,'11'!H13,'12'!H13,'13'!H13,'14'!H13,'15'!H13,'16'!H13,'17'!H13,'18'!H13,'19'!H13,'20'!H13,'21'!H13,'22'!H13,'23'!H13,'24'!H13,'25'!H13,'26'!H13,'27'!H13,'28'!H13,'29'!H13,'30'!H13,'31'!H13)</f>
        <v>0</v>
      </c>
      <c r="H12" s="83">
        <f t="shared" si="1"/>
        <v>0.77</v>
      </c>
      <c r="I12" s="83">
        <f t="shared" si="2"/>
        <v>-0.75</v>
      </c>
      <c r="J12" s="103">
        <f t="shared" si="3"/>
        <v>0.5065789474</v>
      </c>
      <c r="K12" s="83">
        <f t="shared" si="4"/>
        <v>0.04052631579</v>
      </c>
      <c r="L12" s="83">
        <f t="shared" si="5"/>
        <v>0.1757142857</v>
      </c>
      <c r="M12" s="83">
        <f t="shared" si="6"/>
        <v>1.05</v>
      </c>
      <c r="N12" s="103">
        <f t="shared" si="7"/>
        <v>0.525</v>
      </c>
    </row>
    <row r="13" ht="18.0" customHeight="1">
      <c r="A13" s="79">
        <f>Target!A13</f>
        <v>10</v>
      </c>
      <c r="B13" s="13"/>
      <c r="C13" s="81" t="str">
        <f>Target!C13</f>
        <v>Saidabad</v>
      </c>
      <c r="D13" s="83">
        <f>Target!E13+N(Target!F13)</f>
        <v>1.25</v>
      </c>
      <c r="E13" s="83">
        <f>(Target!G13+N(Target!H13))*$H$2</f>
        <v>0.95</v>
      </c>
      <c r="F13" s="83">
        <f>SUM('1'!G14,'2'!G14,'3'!G14,'4'!G14,'5'!G14,'6'!G14,'7'!G14,'8'!G14,'9'!G14,'10'!G14,'11'!G14,'12'!G14,'13'!G14,'14'!G14,'15'!G14,'16'!G14,'17'!G14,'18'!G14,'19'!G14,'20'!G14,'21'!G14,'22'!G14,'23'!G14,'24'!G14,'25'!G14,'26'!G14,'27'!G14,'28'!G14,'29'!G14,'30'!G14,'31'!G14)</f>
        <v>0.89</v>
      </c>
      <c r="G13" s="83">
        <f>SUM('1'!H14,'2'!H14,'3'!H14,'4'!H14,'5'!H14,'6'!H14,'7'!H14,'8'!H14,'9'!H14,'10'!H14,'11'!H14,'12'!H14,'13'!H14,'14'!H14,'15'!H14,'16'!H14,'17'!H14,'18'!H14,'19'!H14,'20'!H14,'21'!H14,'22'!H14,'23'!H14,'24'!H14,'25'!H14,'26'!H14,'27'!H14,'28'!H14,'29'!H14,'30'!H14,'31'!H14)</f>
        <v>0</v>
      </c>
      <c r="H13" s="83">
        <f t="shared" si="1"/>
        <v>0.89</v>
      </c>
      <c r="I13" s="83">
        <f t="shared" si="2"/>
        <v>-0.06</v>
      </c>
      <c r="J13" s="103">
        <f t="shared" si="3"/>
        <v>0.9368421053</v>
      </c>
      <c r="K13" s="83">
        <f t="shared" si="4"/>
        <v>0.04684210526</v>
      </c>
      <c r="L13" s="83">
        <f t="shared" si="5"/>
        <v>0.05142857143</v>
      </c>
      <c r="M13" s="83">
        <f t="shared" si="6"/>
        <v>1.22</v>
      </c>
      <c r="N13" s="103">
        <f t="shared" si="7"/>
        <v>0.976</v>
      </c>
    </row>
    <row r="14" ht="18.0" customHeight="1">
      <c r="A14" s="79">
        <f>Target!A14</f>
        <v>11</v>
      </c>
      <c r="B14" s="80" t="str">
        <f>Target!B14</f>
        <v>Piplu</v>
      </c>
      <c r="C14" s="81" t="str">
        <f>Target!C14</f>
        <v>Hasimpur</v>
      </c>
      <c r="D14" s="83">
        <f>Target!E14+N(Target!F14)</f>
        <v>1.3</v>
      </c>
      <c r="E14" s="83">
        <f>(Target!G14+N(Target!H14))*$H$2</f>
        <v>0.95</v>
      </c>
      <c r="F14" s="83">
        <f>SUM('1'!G15,'2'!G15,'3'!G15,'4'!G15,'5'!G15,'6'!G15,'7'!G15,'8'!G15,'9'!G15,'10'!G15,'11'!G15,'12'!G15,'13'!G15,'14'!G15,'15'!G15,'16'!G15,'17'!G15,'18'!G15,'19'!G15,'20'!G15,'21'!G15,'22'!G15,'23'!G15,'24'!G15,'25'!G15,'26'!G15,'27'!G15,'28'!G15,'29'!G15,'30'!G15,'31'!G15)</f>
        <v>0.92</v>
      </c>
      <c r="G14" s="83">
        <f>SUM('1'!H15,'2'!H15,'3'!H15,'4'!H15,'5'!H15,'6'!H15,'7'!H15,'8'!H15,'9'!H15,'10'!H15,'11'!H15,'12'!H15,'13'!H15,'14'!H15,'15'!H15,'16'!H15,'17'!H15,'18'!H15,'19'!H15,'20'!H15,'21'!H15,'22'!H15,'23'!H15,'24'!H15,'25'!H15,'26'!H15,'27'!H15,'28'!H15,'29'!H15,'30'!H15,'31'!H15)</f>
        <v>0</v>
      </c>
      <c r="H14" s="83">
        <f t="shared" si="1"/>
        <v>0.92</v>
      </c>
      <c r="I14" s="83">
        <f t="shared" si="2"/>
        <v>-0.03</v>
      </c>
      <c r="J14" s="103">
        <f t="shared" si="3"/>
        <v>0.9684210526</v>
      </c>
      <c r="K14" s="83">
        <f t="shared" si="4"/>
        <v>0.04842105263</v>
      </c>
      <c r="L14" s="83">
        <f t="shared" si="5"/>
        <v>0.05428571429</v>
      </c>
      <c r="M14" s="83">
        <f t="shared" si="6"/>
        <v>1.26</v>
      </c>
      <c r="N14" s="103">
        <f t="shared" si="7"/>
        <v>0.9692307692</v>
      </c>
    </row>
    <row r="15" ht="18.0" customHeight="1">
      <c r="A15" s="79">
        <f>Target!A15</f>
        <v>12</v>
      </c>
      <c r="B15" s="13"/>
      <c r="C15" s="81" t="str">
        <f>Target!C15</f>
        <v>Chandanaish</v>
      </c>
      <c r="D15" s="83">
        <f>Target!E15+N(Target!F15)</f>
        <v>1.9</v>
      </c>
      <c r="E15" s="83">
        <f>(Target!G15+N(Target!H15))*$H$2</f>
        <v>1.33</v>
      </c>
      <c r="F15" s="83">
        <f>SUM('1'!G16,'2'!G16,'3'!G16,'4'!G16,'5'!G16,'6'!G16,'7'!G16,'8'!G16,'9'!G16,'10'!G16,'11'!G16,'12'!G16,'13'!G16,'14'!G16,'15'!G16,'16'!G16,'17'!G16,'18'!G16,'19'!G16,'20'!G16,'21'!G16,'22'!G16,'23'!G16,'24'!G16,'25'!G16,'26'!G16,'27'!G16,'28'!G16,'29'!G16,'30'!G16,'31'!G16)</f>
        <v>0.88</v>
      </c>
      <c r="G15" s="83">
        <f>SUM('1'!H16,'2'!H16,'3'!H16,'4'!H16,'5'!H16,'6'!H16,'7'!H16,'8'!H16,'9'!H16,'10'!H16,'11'!H16,'12'!H16,'13'!H16,'14'!H16,'15'!H16,'16'!H16,'17'!H16,'18'!H16,'19'!H16,'20'!H16,'21'!H16,'22'!H16,'23'!H16,'24'!H16,'25'!H16,'26'!H16,'27'!H16,'28'!H16,'29'!H16,'30'!H16,'31'!H16)</f>
        <v>0</v>
      </c>
      <c r="H15" s="83">
        <f t="shared" si="1"/>
        <v>0.88</v>
      </c>
      <c r="I15" s="83">
        <f t="shared" si="2"/>
        <v>-0.45</v>
      </c>
      <c r="J15" s="103">
        <f t="shared" si="3"/>
        <v>0.6616541353</v>
      </c>
      <c r="K15" s="83">
        <f t="shared" si="4"/>
        <v>0.04631578947</v>
      </c>
      <c r="L15" s="83">
        <f t="shared" si="5"/>
        <v>0.1457142857</v>
      </c>
      <c r="M15" s="83">
        <f t="shared" si="6"/>
        <v>1.2</v>
      </c>
      <c r="N15" s="103">
        <f t="shared" si="7"/>
        <v>0.6315789474</v>
      </c>
    </row>
    <row r="16" ht="18.0" customHeight="1">
      <c r="A16" s="84" t="s">
        <v>19</v>
      </c>
      <c r="B16" s="2"/>
      <c r="C16" s="3"/>
      <c r="D16" s="86">
        <f t="shared" ref="D16:H16" si="8">SUM(D4:D15)</f>
        <v>15.5</v>
      </c>
      <c r="E16" s="86">
        <f t="shared" si="8"/>
        <v>11.21</v>
      </c>
      <c r="F16" s="86">
        <f t="shared" si="8"/>
        <v>8.11</v>
      </c>
      <c r="G16" s="86">
        <f t="shared" si="8"/>
        <v>0</v>
      </c>
      <c r="H16" s="86">
        <f t="shared" si="8"/>
        <v>8.11</v>
      </c>
      <c r="I16" s="86">
        <f t="shared" si="2"/>
        <v>-3.1</v>
      </c>
      <c r="J16" s="104">
        <f t="shared" si="3"/>
        <v>0.7234611954</v>
      </c>
      <c r="K16" s="86">
        <f t="shared" si="4"/>
        <v>0.4268421053</v>
      </c>
      <c r="L16" s="86">
        <f t="shared" si="5"/>
        <v>1.055714286</v>
      </c>
      <c r="M16" s="86">
        <f>SUM(M4:M15)</f>
        <v>11.09</v>
      </c>
      <c r="N16" s="104">
        <f t="shared" si="7"/>
        <v>0.715483871</v>
      </c>
    </row>
    <row r="17" ht="18.0" customHeight="1">
      <c r="A17" s="105"/>
      <c r="B17" s="106"/>
      <c r="C17" s="106"/>
      <c r="D17" s="107"/>
      <c r="E17" s="107"/>
      <c r="F17" s="107"/>
      <c r="G17" s="107"/>
      <c r="H17" s="107"/>
      <c r="I17" s="108"/>
      <c r="J17" s="109"/>
      <c r="K17" s="107"/>
      <c r="L17" s="107"/>
      <c r="M17" s="107"/>
      <c r="N17" s="109"/>
    </row>
    <row r="18" ht="18.0" customHeight="1">
      <c r="A18" s="92"/>
      <c r="B18" s="93"/>
      <c r="C18" s="93"/>
      <c r="D18" s="94"/>
      <c r="E18" s="94"/>
      <c r="F18" s="94"/>
      <c r="G18" s="94"/>
      <c r="H18" s="94"/>
      <c r="I18" s="110"/>
      <c r="J18" s="111"/>
      <c r="K18" s="94"/>
      <c r="L18" s="94"/>
      <c r="M18" s="94"/>
      <c r="N18" s="111"/>
    </row>
    <row r="19" ht="18.0" customHeight="1">
      <c r="A19" s="92"/>
      <c r="B19" s="93"/>
      <c r="C19" s="93"/>
      <c r="D19" s="94"/>
      <c r="E19" s="94"/>
      <c r="F19" s="94"/>
      <c r="G19" s="94"/>
      <c r="H19" s="94"/>
      <c r="I19" s="110"/>
      <c r="J19" s="111"/>
      <c r="K19" s="94"/>
      <c r="L19" s="94"/>
      <c r="M19" s="94"/>
      <c r="N19" s="111"/>
    </row>
    <row r="20" ht="18.0" customHeight="1">
      <c r="A20" s="92"/>
      <c r="B20" s="93"/>
      <c r="C20" s="93"/>
      <c r="D20" s="94"/>
      <c r="E20" s="94"/>
      <c r="F20" s="94"/>
      <c r="G20" s="94"/>
      <c r="H20" s="94"/>
      <c r="I20" s="110"/>
      <c r="J20" s="111"/>
      <c r="K20" s="94"/>
      <c r="L20" s="94"/>
      <c r="M20" s="94"/>
      <c r="N20" s="111"/>
    </row>
    <row r="21" ht="18.0" customHeight="1">
      <c r="A21" s="92"/>
      <c r="B21" s="93"/>
      <c r="C21" s="93"/>
      <c r="D21" s="94"/>
      <c r="E21" s="94"/>
      <c r="F21" s="94"/>
      <c r="G21" s="94"/>
      <c r="H21" s="94"/>
      <c r="I21" s="110"/>
      <c r="J21" s="111"/>
      <c r="K21" s="94"/>
      <c r="L21" s="94"/>
      <c r="M21" s="94"/>
      <c r="N21" s="111"/>
    </row>
    <row r="22" ht="18.0" customHeight="1">
      <c r="A22" s="92"/>
      <c r="B22" s="93"/>
      <c r="C22" s="93"/>
      <c r="D22" s="94"/>
      <c r="E22" s="94"/>
      <c r="F22" s="94"/>
      <c r="G22" s="94"/>
      <c r="H22" s="94"/>
      <c r="I22" s="110"/>
      <c r="J22" s="111"/>
      <c r="K22" s="94"/>
      <c r="L22" s="94"/>
      <c r="M22" s="94"/>
      <c r="N22" s="111"/>
    </row>
    <row r="23" ht="18.0" customHeight="1">
      <c r="A23" s="92"/>
      <c r="B23" s="93"/>
      <c r="C23" s="93"/>
      <c r="D23" s="94"/>
      <c r="E23" s="94"/>
      <c r="F23" s="94"/>
      <c r="G23" s="94"/>
      <c r="H23" s="94"/>
      <c r="I23" s="110"/>
      <c r="J23" s="111"/>
      <c r="K23" s="94"/>
      <c r="L23" s="94"/>
      <c r="M23" s="94"/>
      <c r="N23" s="111"/>
    </row>
    <row r="24" ht="18.0" customHeight="1">
      <c r="A24" s="92"/>
      <c r="B24" s="93"/>
      <c r="C24" s="93"/>
      <c r="D24" s="94"/>
      <c r="E24" s="94"/>
      <c r="F24" s="94"/>
      <c r="G24" s="94"/>
      <c r="H24" s="94"/>
      <c r="I24" s="110"/>
      <c r="J24" s="111"/>
      <c r="K24" s="94"/>
      <c r="L24" s="94"/>
      <c r="M24" s="94"/>
      <c r="N24" s="111"/>
    </row>
    <row r="25" ht="18.0" customHeight="1">
      <c r="A25" s="92"/>
      <c r="B25" s="93"/>
      <c r="C25" s="93"/>
      <c r="D25" s="94"/>
      <c r="E25" s="94"/>
      <c r="F25" s="94"/>
      <c r="G25" s="94"/>
      <c r="H25" s="94"/>
      <c r="I25" s="110"/>
      <c r="J25" s="111"/>
      <c r="K25" s="94"/>
      <c r="L25" s="94"/>
      <c r="M25" s="94"/>
      <c r="N25" s="111"/>
    </row>
    <row r="26" ht="18.0" customHeight="1">
      <c r="A26" s="92"/>
      <c r="B26" s="93"/>
      <c r="C26" s="93"/>
      <c r="D26" s="94"/>
      <c r="E26" s="94"/>
      <c r="F26" s="94"/>
      <c r="G26" s="94"/>
      <c r="H26" s="94"/>
      <c r="I26" s="110"/>
      <c r="J26" s="111"/>
      <c r="K26" s="94"/>
      <c r="L26" s="94"/>
      <c r="M26" s="94"/>
      <c r="N26" s="111"/>
    </row>
    <row r="27" ht="18.0" customHeight="1">
      <c r="A27" s="95"/>
      <c r="B27" s="42"/>
      <c r="C27" s="43"/>
      <c r="D27" s="96"/>
      <c r="E27" s="96"/>
      <c r="F27" s="96"/>
      <c r="G27" s="96"/>
      <c r="H27" s="96"/>
      <c r="I27" s="112"/>
      <c r="J27" s="111"/>
      <c r="K27" s="96"/>
      <c r="L27" s="96"/>
      <c r="M27" s="96"/>
      <c r="N27" s="111"/>
    </row>
    <row r="28" ht="15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</row>
    <row r="29" ht="15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</row>
    <row r="30" ht="15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</row>
    <row r="31" ht="15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6:C16"/>
    <mergeCell ref="A27:C27"/>
    <mergeCell ref="A1:N1"/>
    <mergeCell ref="B4:B5"/>
    <mergeCell ref="B6:B7"/>
    <mergeCell ref="B8:B9"/>
    <mergeCell ref="B10:B11"/>
    <mergeCell ref="B12:B13"/>
    <mergeCell ref="B14:B15"/>
    <mergeCell ref="L2:N2"/>
  </mergeCells>
  <conditionalFormatting sqref="J4:J26 N4:N26">
    <cfRule type="cellIs" dxfId="2" priority="1" stopIfTrue="1" operator="greaterThanOrEqual">
      <formula>1</formula>
    </cfRule>
  </conditionalFormatting>
  <conditionalFormatting sqref="J4:J26 N4:N26">
    <cfRule type="cellIs" dxfId="3" priority="2" stopIfTrue="1" operator="between">
      <formula>0.95</formula>
      <formula>0.999</formula>
    </cfRule>
  </conditionalFormatting>
  <conditionalFormatting sqref="J4:J26 N4:N26">
    <cfRule type="cellIs" dxfId="4" priority="3" stopIfTrue="1" operator="lessThan">
      <formula>0.95</formula>
    </cfRule>
  </conditionalFormatting>
  <conditionalFormatting sqref="I4:I26">
    <cfRule type="cellIs" dxfId="2" priority="4" stopIfTrue="1" operator="greaterThan">
      <formula>0</formula>
    </cfRule>
  </conditionalFormatting>
  <conditionalFormatting sqref="I4:I26">
    <cfRule type="cellIs" dxfId="4" priority="5" stopIfTrue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0.88"/>
    <col customWidth="1" min="3" max="3" width="18.13"/>
    <col customWidth="1" min="4" max="5" width="13.75"/>
    <col customWidth="1" min="6" max="6" width="12.13"/>
    <col customWidth="1" min="7" max="7" width="11.0"/>
    <col customWidth="1" min="8" max="8" width="13.75"/>
    <col customWidth="1" min="9" max="11" width="12.13"/>
    <col customWidth="1" min="12" max="26" width="10.5"/>
  </cols>
  <sheetData>
    <row r="1" ht="42.0" customHeight="1">
      <c r="A1" s="113" t="s">
        <v>75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ht="32.25" customHeight="1">
      <c r="A2" s="114" t="str">
        <f>"Territory: Chandanaish | Region: Chattogram | Performance as of Working Day "&amp;'ATDA &amp; ADS'!$H$2&amp;" of "&amp;Target!$H$2&amp;" ("&amp;TEXT('ATDA &amp; ADS'!$L$2,"yyyy-mm-dd")&amp;") | Status: Live Sync with 26 Working Days (Fridays Excluded)"</f>
        <v>Territory: Chandanaish | Region: Chattogram | Performance as of Working Day 19 of 26 (2026-10-23) | Status: Live Sync with 26 Working Days (Fridays Excluded)</v>
      </c>
      <c r="B2" s="42"/>
      <c r="C2" s="42"/>
      <c r="D2" s="42"/>
      <c r="E2" s="42"/>
      <c r="F2" s="42"/>
      <c r="G2" s="42"/>
      <c r="H2" s="42"/>
      <c r="I2" s="42"/>
      <c r="J2" s="42"/>
      <c r="K2" s="43"/>
    </row>
    <row r="3" ht="9.0" customHeight="1"/>
    <row r="4" ht="19.5" customHeight="1">
      <c r="A4" s="115" t="s">
        <v>76</v>
      </c>
      <c r="B4" s="3"/>
      <c r="C4" s="115" t="s">
        <v>77</v>
      </c>
      <c r="D4" s="3"/>
      <c r="E4" s="115" t="s">
        <v>78</v>
      </c>
      <c r="F4" s="3"/>
      <c r="G4" s="115" t="s">
        <v>79</v>
      </c>
      <c r="H4" s="3"/>
      <c r="I4" s="115" t="s">
        <v>80</v>
      </c>
      <c r="J4" s="3"/>
      <c r="K4" s="116" t="s">
        <v>81</v>
      </c>
    </row>
    <row r="5" ht="25.5" customHeight="1">
      <c r="A5" s="117">
        <f>Target!E16</f>
        <v>15.5</v>
      </c>
      <c r="B5" s="3"/>
      <c r="C5" s="117">
        <f>'ATDA &amp; ADS'!E16</f>
        <v>11.21</v>
      </c>
      <c r="D5" s="3"/>
      <c r="E5" s="117">
        <f>'ATDA &amp; ADS'!H16</f>
        <v>8.11</v>
      </c>
      <c r="F5" s="3"/>
      <c r="G5" s="118">
        <f>'ATDA &amp; ADS'!J16</f>
        <v>0.7234611954</v>
      </c>
      <c r="H5" s="3"/>
      <c r="I5" s="117">
        <f>'ATDA &amp; ADS'!K16</f>
        <v>0.4268421053</v>
      </c>
      <c r="J5" s="3"/>
      <c r="K5" s="119">
        <f>'ATDA &amp; ADS'!M16</f>
        <v>11.09</v>
      </c>
    </row>
    <row r="6" ht="16.5" customHeight="1">
      <c r="A6" s="120" t="str">
        <f>"Target: "&amp;TEXT(Target!E16,"0.00")&amp;" | TM ADS: "&amp;TEXT(Target!K5,"0.00")</f>
        <v>Target: 15.50 | TM ADS: 0.60</v>
      </c>
      <c r="B6" s="3"/>
      <c r="C6" s="120" t="str">
        <f>"Target for "&amp;'ATDA &amp; ADS'!$H$2&amp;" Working Days Elapsed"</f>
        <v>Target for 19 Working Days Elapsed</v>
      </c>
      <c r="D6" s="3"/>
      <c r="E6" s="120" t="str">
        <f>"Variance: "&amp;TEXT('ATDA &amp; ADS'!I16,"+0.00;-0.00;0.00")</f>
        <v>Variance: -3.10</v>
      </c>
      <c r="F6" s="3"/>
      <c r="G6" s="120" t="str">
        <f>"Status: "&amp;IF('ATDA &amp; ADS'!J16&gt;=1,"Above Target","Pacing Required")</f>
        <v>Status: Pacing Required</v>
      </c>
      <c r="H6" s="3"/>
      <c r="I6" s="120" t="str">
        <f>"Req. Run Rate: "&amp;TEXT('ATDA &amp; ADS'!L16,"0.00")&amp;" / day"</f>
        <v>Req. Run Rate: 1.06 / day</v>
      </c>
      <c r="J6" s="3"/>
      <c r="K6" s="121" t="str">
        <f>"Projected Ach: "&amp;TEXT('ATDA &amp; ADS'!N16,"0.0%")</f>
        <v>Projected Ach: 71.5%</v>
      </c>
    </row>
    <row r="7" ht="9.0" customHeight="1"/>
    <row r="8" ht="19.5" customHeight="1">
      <c r="A8" s="122" t="s">
        <v>82</v>
      </c>
      <c r="B8" s="2"/>
      <c r="C8" s="2"/>
      <c r="D8" s="2"/>
      <c r="E8" s="2"/>
      <c r="F8" s="2"/>
      <c r="G8" s="2"/>
      <c r="H8" s="2"/>
      <c r="I8" s="2"/>
      <c r="J8" s="2"/>
      <c r="K8" s="3"/>
    </row>
    <row r="9" ht="19.5" customHeight="1">
      <c r="A9" s="123" t="str">
        <f>"Target: "&amp;TEXT(Target!E16,"0.00")</f>
        <v>Target: 15.50</v>
      </c>
      <c r="B9" s="3"/>
      <c r="C9" s="123" t="str">
        <f>"Target ADS: "&amp;TEXT(Target!K5,"0.00")</f>
        <v>Target ADS: 0.60</v>
      </c>
      <c r="D9" s="3"/>
      <c r="E9" s="123" t="str">
        <f>"LMS: "&amp;TEXT(Target!K2,"0.00")</f>
        <v>LMS: 11.06</v>
      </c>
      <c r="F9" s="3"/>
      <c r="G9" s="123" t="str">
        <f>"LM ADS: "&amp;TEXT(Target!K3,"0.00")</f>
        <v>LM ADS: 0.43</v>
      </c>
      <c r="H9" s="3"/>
      <c r="I9" s="123" t="str">
        <f>"MTD Actual: "&amp;TEXT('ATDA &amp; ADS'!H16,"0.00")</f>
        <v>MTD Actual: 8.11</v>
      </c>
      <c r="J9" s="3"/>
      <c r="K9" s="124" t="str">
        <f>"ATDA: "&amp;TEXT('ATDA &amp; ADS'!J16,"0.0%")</f>
        <v>ATDA: 72.3%</v>
      </c>
    </row>
    <row r="10" ht="21.0" customHeight="1">
      <c r="A10" s="125" t="s">
        <v>83</v>
      </c>
      <c r="B10" s="2"/>
      <c r="C10" s="2"/>
      <c r="D10" s="2"/>
      <c r="E10" s="2"/>
      <c r="F10" s="2"/>
      <c r="G10" s="2"/>
      <c r="H10" s="3"/>
    </row>
    <row r="11" ht="21.0" customHeight="1">
      <c r="A11" s="116" t="s">
        <v>84</v>
      </c>
      <c r="B11" s="116" t="s">
        <v>9</v>
      </c>
      <c r="C11" s="116" t="s">
        <v>8</v>
      </c>
      <c r="D11" s="116" t="s">
        <v>85</v>
      </c>
      <c r="E11" s="116" t="s">
        <v>86</v>
      </c>
      <c r="F11" s="116" t="s">
        <v>14</v>
      </c>
      <c r="G11" s="116" t="s">
        <v>87</v>
      </c>
      <c r="H11" s="116" t="s">
        <v>88</v>
      </c>
    </row>
    <row r="12" ht="18.0" customHeight="1">
      <c r="A12" s="126">
        <v>1.0</v>
      </c>
      <c r="B12" s="127" t="str">
        <f t="array" ref="B12">INDEX(SORT('ATDA &amp; ADS'!$A$4:$N$15,10,FALSE),A12,3)</f>
        <v>Chomuda para</v>
      </c>
      <c r="C12" s="128" t="str">
        <f t="array" ref="C12">IFERROR(_xlfn.XLOOKUP(B12, Target!$C$4:$C$15, SCAN("", Target!$B$4:$B$15, LAMBDA(a,c, IF(c="", a, c)))), "")</f>
        <v>Anowar</v>
      </c>
      <c r="D12" s="129">
        <f t="array" ref="D12">INDEX(SORT('ATDA &amp; ADS'!$A$4:$N$15,10,FALSE),A12,5)</f>
        <v>0.57</v>
      </c>
      <c r="E12" s="129">
        <f t="array" ref="E12">INDEX(SORT('ATDA &amp; ADS'!$A$4:$N$15,10,FALSE),A12,8)</f>
        <v>0.91</v>
      </c>
      <c r="F12" s="129">
        <f t="array" ref="F12">INDEX(SORT('ATDA &amp; ADS'!$A$4:$N$15,10,FALSE),A12,9)</f>
        <v>0.34</v>
      </c>
      <c r="G12" s="130">
        <f t="array" ref="G12">INDEX(SORT('ATDA &amp; ADS'!$A$4:$N$15,10,FALSE),A12,10)</f>
        <v>1.596491228</v>
      </c>
      <c r="H12" s="131" t="str">
        <f t="shared" ref="H12:H23" si="1">IF(G12&gt;=1.01,"Top Performer",IF(G12&gt;=1,"Achieved",IF(G12&gt;=0.98,"Near Target","Needs Pacing")))</f>
        <v>Top Performer</v>
      </c>
    </row>
    <row r="13" ht="18.0" customHeight="1">
      <c r="A13" s="126">
        <v>2.0</v>
      </c>
      <c r="B13" s="127" t="str">
        <f t="array" ref="B13">INDEX(SORT('ATDA &amp; ADS'!$A$4:$N$15,10,FALSE),A13,3)</f>
        <v>Hasimpur</v>
      </c>
      <c r="C13" s="128" t="str">
        <f t="array" ref="C13">IFERROR(_xlfn.XLOOKUP(B13, Target!$C$4:$C$15, SCAN("", Target!$B$4:$B$15, LAMBDA(a,c, IF(c="", a, c)))), "")</f>
        <v>Piplu</v>
      </c>
      <c r="D13" s="129">
        <f t="array" ref="D13">INDEX(SORT('ATDA &amp; ADS'!$A$4:$N$15,10,FALSE),A13,5)</f>
        <v>0.95</v>
      </c>
      <c r="E13" s="129">
        <f t="array" ref="E13">INDEX(SORT('ATDA &amp; ADS'!$A$4:$N$15,10,FALSE),A13,8)</f>
        <v>0.92</v>
      </c>
      <c r="F13" s="129">
        <f t="array" ref="F13">INDEX(SORT('ATDA &amp; ADS'!$A$4:$N$15,10,FALSE),A13,9)</f>
        <v>-0.03</v>
      </c>
      <c r="G13" s="130">
        <f t="array" ref="G13">INDEX(SORT('ATDA &amp; ADS'!$A$4:$N$15,10,FALSE),A13,10)</f>
        <v>0.9684210526</v>
      </c>
      <c r="H13" s="131" t="str">
        <f t="shared" si="1"/>
        <v>Needs Pacing</v>
      </c>
    </row>
    <row r="14" ht="18.0" customHeight="1">
      <c r="A14" s="126">
        <v>3.0</v>
      </c>
      <c r="B14" s="127" t="str">
        <f t="array" ref="B14">INDEX(SORT('ATDA &amp; ADS'!$A$4:$N$15,10,FALSE),A14,3)</f>
        <v>Pukur Par</v>
      </c>
      <c r="C14" s="128" t="str">
        <f t="array" ref="C14">IFERROR(_xlfn.XLOOKUP(B14, Target!$C$4:$C$15, SCAN("", Target!$B$4:$B$15, LAMBDA(a,c, IF(c="", a, c)))), "")</f>
        <v>Jabed</v>
      </c>
      <c r="D14" s="129">
        <f t="array" ref="D14">INDEX(SORT('ATDA &amp; ADS'!$A$4:$N$15,10,FALSE),A14,5)</f>
        <v>0.57</v>
      </c>
      <c r="E14" s="129">
        <f t="array" ref="E14">INDEX(SORT('ATDA &amp; ADS'!$A$4:$N$15,10,FALSE),A14,8)</f>
        <v>0.55</v>
      </c>
      <c r="F14" s="129">
        <f t="array" ref="F14">INDEX(SORT('ATDA &amp; ADS'!$A$4:$N$15,10,FALSE),A14,9)</f>
        <v>-0.02</v>
      </c>
      <c r="G14" s="130">
        <f t="array" ref="G14">INDEX(SORT('ATDA &amp; ADS'!$A$4:$N$15,10,FALSE),A14,10)</f>
        <v>0.9649122807</v>
      </c>
      <c r="H14" s="131" t="str">
        <f t="shared" si="1"/>
        <v>Needs Pacing</v>
      </c>
    </row>
    <row r="15" ht="18.0" customHeight="1">
      <c r="A15" s="126">
        <v>4.0</v>
      </c>
      <c r="B15" s="127" t="str">
        <f t="array" ref="B15">INDEX(SORT('ATDA &amp; ADS'!$A$4:$N$15,10,FALSE),A15,3)</f>
        <v>Saidabad</v>
      </c>
      <c r="C15" s="128" t="str">
        <f t="array" ref="C15">IFERROR(_xlfn.XLOOKUP(B15, Target!$C$4:$C$15, SCAN("", Target!$B$4:$B$15, LAMBDA(a,c, IF(c="", a, c)))), "")</f>
        <v>Amir</v>
      </c>
      <c r="D15" s="129">
        <f t="array" ref="D15">INDEX(SORT('ATDA &amp; ADS'!$A$4:$N$15,10,FALSE),A15,5)</f>
        <v>0.95</v>
      </c>
      <c r="E15" s="129">
        <f t="array" ref="E15">INDEX(SORT('ATDA &amp; ADS'!$A$4:$N$15,10,FALSE),A15,8)</f>
        <v>0.89</v>
      </c>
      <c r="F15" s="129">
        <f t="array" ref="F15">INDEX(SORT('ATDA &amp; ADS'!$A$4:$N$15,10,FALSE),A15,9)</f>
        <v>-0.06</v>
      </c>
      <c r="G15" s="130">
        <f t="array" ref="G15">INDEX(SORT('ATDA &amp; ADS'!$A$4:$N$15,10,FALSE),A15,10)</f>
        <v>0.9368421053</v>
      </c>
      <c r="H15" s="131" t="str">
        <f t="shared" si="1"/>
        <v>Needs Pacing</v>
      </c>
    </row>
    <row r="16" ht="18.0" customHeight="1">
      <c r="A16" s="126">
        <v>5.0</v>
      </c>
      <c r="B16" s="127" t="str">
        <f t="array" ref="B16">INDEX(SORT('ATDA &amp; ADS'!$A$4:$N$15,10,FALSE),A16,3)</f>
        <v>Nazir Hat</v>
      </c>
      <c r="C16" s="128" t="str">
        <f t="array" ref="C16">IFERROR(_xlfn.XLOOKUP(B16, Target!$C$4:$C$15, SCAN("", Target!$B$4:$B$15, LAMBDA(a,c, IF(c="", a, c)))), "")</f>
        <v>Tahasin</v>
      </c>
      <c r="D16" s="129">
        <f t="array" ref="D16">INDEX(SORT('ATDA &amp; ADS'!$A$4:$N$15,10,FALSE),A16,5)</f>
        <v>0.57</v>
      </c>
      <c r="E16" s="129">
        <f t="array" ref="E16">INDEX(SORT('ATDA &amp; ADS'!$A$4:$N$15,10,FALSE),A16,8)</f>
        <v>0.51</v>
      </c>
      <c r="F16" s="129">
        <f t="array" ref="F16">INDEX(SORT('ATDA &amp; ADS'!$A$4:$N$15,10,FALSE),A16,9)</f>
        <v>-0.06</v>
      </c>
      <c r="G16" s="130">
        <f t="array" ref="G16">INDEX(SORT('ATDA &amp; ADS'!$A$4:$N$15,10,FALSE),A16,10)</f>
        <v>0.8947368421</v>
      </c>
      <c r="H16" s="131" t="str">
        <f t="shared" si="1"/>
        <v>Needs Pacing</v>
      </c>
    </row>
    <row r="17" ht="18.0" customHeight="1">
      <c r="A17" s="126">
        <v>6.0</v>
      </c>
      <c r="B17" s="127" t="str">
        <f t="array" ref="B17">INDEX(SORT('ATDA &amp; ADS'!$A$4:$N$15,10,FALSE),A17,3)</f>
        <v>Moulvi Bazar</v>
      </c>
      <c r="C17" s="128" t="str">
        <f t="array" ref="C17">IFERROR(_xlfn.XLOOKUP(B17, Target!$C$4:$C$15, SCAN("", Target!$B$4:$B$15, LAMBDA(a,c, IF(c="", a, c)))), "")</f>
        <v>Karim</v>
      </c>
      <c r="D17" s="129">
        <f t="array" ref="D17">INDEX(SORT('ATDA &amp; ADS'!$A$4:$N$15,10,FALSE),A17,5)</f>
        <v>0.57</v>
      </c>
      <c r="E17" s="129">
        <f t="array" ref="E17">INDEX(SORT('ATDA &amp; ADS'!$A$4:$N$15,10,FALSE),A17,8)</f>
        <v>0.44</v>
      </c>
      <c r="F17" s="129">
        <f t="array" ref="F17">INDEX(SORT('ATDA &amp; ADS'!$A$4:$N$15,10,FALSE),A17,9)</f>
        <v>-0.13</v>
      </c>
      <c r="G17" s="130">
        <f t="array" ref="G17">INDEX(SORT('ATDA &amp; ADS'!$A$4:$N$15,10,FALSE),A17,10)</f>
        <v>0.7719298246</v>
      </c>
      <c r="H17" s="131" t="str">
        <f t="shared" si="1"/>
        <v>Needs Pacing</v>
      </c>
    </row>
    <row r="18" ht="18.0" customHeight="1">
      <c r="A18" s="126">
        <v>7.0</v>
      </c>
      <c r="B18" s="127" t="str">
        <f t="array" ref="B18">INDEX(SORT('ATDA &amp; ADS'!$A$4:$N$15,10,FALSE),A18,3)</f>
        <v>Chandanaish</v>
      </c>
      <c r="C18" s="128" t="str">
        <f t="array" ref="C18">IFERROR(_xlfn.XLOOKUP(B18, Target!$C$4:$C$15, SCAN("", Target!$B$4:$B$15, LAMBDA(a,c, IF(c="", a, c)))), "")</f>
        <v>Piplu</v>
      </c>
      <c r="D18" s="129">
        <f t="array" ref="D18">INDEX(SORT('ATDA &amp; ADS'!$A$4:$N$15,10,FALSE),A18,5)</f>
        <v>1.33</v>
      </c>
      <c r="E18" s="129">
        <f t="array" ref="E18">INDEX(SORT('ATDA &amp; ADS'!$A$4:$N$15,10,FALSE),A18,8)</f>
        <v>0.88</v>
      </c>
      <c r="F18" s="129">
        <f t="array" ref="F18">INDEX(SORT('ATDA &amp; ADS'!$A$4:$N$15,10,FALSE),A18,9)</f>
        <v>-0.45</v>
      </c>
      <c r="G18" s="130">
        <f t="array" ref="G18">INDEX(SORT('ATDA &amp; ADS'!$A$4:$N$15,10,FALSE),A18,10)</f>
        <v>0.6616541353</v>
      </c>
      <c r="H18" s="131" t="str">
        <f t="shared" si="1"/>
        <v>Needs Pacing</v>
      </c>
    </row>
    <row r="19" ht="18.0" customHeight="1">
      <c r="A19" s="126">
        <v>8.0</v>
      </c>
      <c r="B19" s="127" t="str">
        <f t="array" ref="B19">INDEX(SORT('ATDA &amp; ADS'!$A$4:$N$15,10,FALSE),A19,3)</f>
        <v>Kesua</v>
      </c>
      <c r="C19" s="128" t="str">
        <f t="array" ref="C19">IFERROR(_xlfn.XLOOKUP(B19, Target!$C$4:$C$15, SCAN("", Target!$B$4:$B$15, LAMBDA(a,c, IF(c="", a, c)))), "")</f>
        <v>Karim</v>
      </c>
      <c r="D19" s="129">
        <f t="array" ref="D19">INDEX(SORT('ATDA &amp; ADS'!$A$4:$N$15,10,FALSE),A19,5)</f>
        <v>0.95</v>
      </c>
      <c r="E19" s="129">
        <f t="array" ref="E19">INDEX(SORT('ATDA &amp; ADS'!$A$4:$N$15,10,FALSE),A19,8)</f>
        <v>0.61</v>
      </c>
      <c r="F19" s="129">
        <f t="array" ref="F19">INDEX(SORT('ATDA &amp; ADS'!$A$4:$N$15,10,FALSE),A19,9)</f>
        <v>-0.34</v>
      </c>
      <c r="G19" s="130">
        <f t="array" ref="G19">INDEX(SORT('ATDA &amp; ADS'!$A$4:$N$15,10,FALSE),A19,10)</f>
        <v>0.6421052632</v>
      </c>
      <c r="H19" s="131" t="str">
        <f t="shared" si="1"/>
        <v>Needs Pacing</v>
      </c>
    </row>
    <row r="20" ht="18.0" customHeight="1">
      <c r="A20" s="126">
        <v>9.0</v>
      </c>
      <c r="B20" s="127" t="str">
        <f t="array" ref="B20">INDEX(SORT('ATDA &amp; ADS'!$A$4:$N$15,10,FALSE),A20,3)</f>
        <v>Char Barama</v>
      </c>
      <c r="C20" s="128" t="str">
        <f t="array" ref="C20">IFERROR(_xlfn.XLOOKUP(B20, Target!$C$4:$C$15, SCAN("", Target!$B$4:$B$15, LAMBDA(a,c, IF(c="", a, c)))), "")</f>
        <v>Jabed</v>
      </c>
      <c r="D20" s="129">
        <f t="array" ref="D20">INDEX(SORT('ATDA &amp; ADS'!$A$4:$N$15,10,FALSE),A20,5)</f>
        <v>0.95</v>
      </c>
      <c r="E20" s="129">
        <f t="array" ref="E20">INDEX(SORT('ATDA &amp; ADS'!$A$4:$N$15,10,FALSE),A20,8)</f>
        <v>0.56</v>
      </c>
      <c r="F20" s="129">
        <f t="array" ref="F20">INDEX(SORT('ATDA &amp; ADS'!$A$4:$N$15,10,FALSE),A20,9)</f>
        <v>-0.39</v>
      </c>
      <c r="G20" s="130">
        <f t="array" ref="G20">INDEX(SORT('ATDA &amp; ADS'!$A$4:$N$15,10,FALSE),A20,10)</f>
        <v>0.5894736842</v>
      </c>
      <c r="H20" s="131" t="str">
        <f t="shared" si="1"/>
        <v>Needs Pacing</v>
      </c>
    </row>
    <row r="21" ht="18.0" customHeight="1">
      <c r="A21" s="126">
        <v>10.0</v>
      </c>
      <c r="B21" s="127" t="str">
        <f t="array" ref="B21">INDEX(SORT('ATDA &amp; ADS'!$A$4:$N$15,10,FALSE),A21,3)</f>
        <v>khan Hat</v>
      </c>
      <c r="C21" s="128" t="str">
        <f t="array" ref="C21">IFERROR(_xlfn.XLOOKUP(B21, Target!$C$4:$C$15, SCAN("", Target!$B$4:$B$15, LAMBDA(a,c, IF(c="", a, c)))), "")</f>
        <v>Amir</v>
      </c>
      <c r="D21" s="129">
        <f t="array" ref="D21">INDEX(SORT('ATDA &amp; ADS'!$A$4:$N$15,10,FALSE),A21,5)</f>
        <v>1.52</v>
      </c>
      <c r="E21" s="129">
        <f t="array" ref="E21">INDEX(SORT('ATDA &amp; ADS'!$A$4:$N$15,10,FALSE),A21,8)</f>
        <v>0.77</v>
      </c>
      <c r="F21" s="129">
        <f t="array" ref="F21">INDEX(SORT('ATDA &amp; ADS'!$A$4:$N$15,10,FALSE),A21,9)</f>
        <v>-0.75</v>
      </c>
      <c r="G21" s="130">
        <f t="array" ref="G21">INDEX(SORT('ATDA &amp; ADS'!$A$4:$N$15,10,FALSE),A21,10)</f>
        <v>0.5065789474</v>
      </c>
      <c r="H21" s="131" t="str">
        <f t="shared" si="1"/>
        <v>Needs Pacing</v>
      </c>
    </row>
    <row r="22" ht="18.0" customHeight="1">
      <c r="A22" s="126">
        <v>11.0</v>
      </c>
      <c r="B22" s="127" t="str">
        <f t="array" ref="B22">INDEX(SORT('ATDA &amp; ADS'!$A$4:$N$15,10,FALSE),A22,3)</f>
        <v>Dhamair Hat</v>
      </c>
      <c r="C22" s="128" t="str">
        <f t="array" ref="C22">IFERROR(_xlfn.XLOOKUP(B22, Target!$C$4:$C$15, SCAN("", Target!$B$4:$B$15, LAMBDA(a,c, IF(c="", a, c)))), "")</f>
        <v>Anowar</v>
      </c>
      <c r="D22" s="129">
        <f t="array" ref="D22">INDEX(SORT('ATDA &amp; ADS'!$A$4:$N$15,10,FALSE),A22,5)</f>
        <v>1.33</v>
      </c>
      <c r="E22" s="129">
        <f t="array" ref="E22">INDEX(SORT('ATDA &amp; ADS'!$A$4:$N$15,10,FALSE),A22,8)</f>
        <v>0.66</v>
      </c>
      <c r="F22" s="129">
        <f t="array" ref="F22">INDEX(SORT('ATDA &amp; ADS'!$A$4:$N$15,10,FALSE),A22,9)</f>
        <v>-0.67</v>
      </c>
      <c r="G22" s="130">
        <f t="array" ref="G22">INDEX(SORT('ATDA &amp; ADS'!$A$4:$N$15,10,FALSE),A22,10)</f>
        <v>0.4962406015</v>
      </c>
      <c r="H22" s="131" t="str">
        <f t="shared" si="1"/>
        <v>Needs Pacing</v>
      </c>
    </row>
    <row r="23" ht="18.0" customHeight="1">
      <c r="A23" s="126">
        <v>12.0</v>
      </c>
      <c r="B23" s="127" t="str">
        <f t="array" ref="B23">INDEX(SORT('ATDA &amp; ADS'!$A$4:$N$15,10,FALSE),A23,3)</f>
        <v>Harala</v>
      </c>
      <c r="C23" s="128" t="str">
        <f t="array" ref="C23">IFERROR(_xlfn.XLOOKUP(B23, Target!$C$4:$C$15, SCAN("", Target!$B$4:$B$15, LAMBDA(a,c, IF(c="", a, c)))), "")</f>
        <v>Tahasin</v>
      </c>
      <c r="D23" s="129">
        <f t="array" ref="D23">INDEX(SORT('ATDA &amp; ADS'!$A$4:$N$15,10,FALSE),A23,5)</f>
        <v>0.95</v>
      </c>
      <c r="E23" s="129">
        <f t="array" ref="E23">INDEX(SORT('ATDA &amp; ADS'!$A$4:$N$15,10,FALSE),A23,8)</f>
        <v>0.41</v>
      </c>
      <c r="F23" s="129">
        <f t="array" ref="F23">INDEX(SORT('ATDA &amp; ADS'!$A$4:$N$15,10,FALSE),A23,9)</f>
        <v>-0.54</v>
      </c>
      <c r="G23" s="130">
        <f t="array" ref="G23">INDEX(SORT('ATDA &amp; ADS'!$A$4:$N$15,10,FALSE),A23,10)</f>
        <v>0.4315789474</v>
      </c>
      <c r="H23" s="131" t="str">
        <f t="shared" si="1"/>
        <v>Needs Pacing</v>
      </c>
    </row>
    <row r="24" ht="18.0" customHeight="1">
      <c r="A24" s="132" t="s">
        <v>89</v>
      </c>
      <c r="B24" s="133" t="s">
        <v>90</v>
      </c>
      <c r="C24" s="133" t="s">
        <v>91</v>
      </c>
      <c r="D24" s="134">
        <f>'ATDA &amp; ADS'!E16</f>
        <v>11.21</v>
      </c>
      <c r="E24" s="134">
        <f>'ATDA &amp; ADS'!H16</f>
        <v>8.11</v>
      </c>
      <c r="F24" s="134">
        <f>'ATDA &amp; ADS'!I16</f>
        <v>-3.1</v>
      </c>
      <c r="G24" s="135">
        <f>'ATDA &amp; ADS'!J16</f>
        <v>0.7234611954</v>
      </c>
      <c r="H24" s="132" t="str">
        <f>IF(G24&gt;=1,"Overall Achieved","Needs Pacing")</f>
        <v>Needs Pacing</v>
      </c>
    </row>
    <row r="25" ht="18.0" customHeight="1">
      <c r="A25" s="136"/>
      <c r="B25" s="136"/>
      <c r="C25" s="136"/>
      <c r="D25" s="137"/>
      <c r="E25" s="137"/>
      <c r="F25" s="138"/>
      <c r="G25" s="139"/>
      <c r="H25" s="140"/>
    </row>
    <row r="26" ht="15.75" customHeight="1">
      <c r="A26" s="97"/>
      <c r="B26" s="97"/>
      <c r="C26" s="97"/>
      <c r="D26" s="97"/>
      <c r="E26" s="97"/>
      <c r="F26" s="97"/>
      <c r="G26" s="97"/>
      <c r="H26" s="9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K1"/>
    <mergeCell ref="A2:K2"/>
    <mergeCell ref="A4:B4"/>
    <mergeCell ref="C4:D4"/>
    <mergeCell ref="E4:F4"/>
    <mergeCell ref="G4:H4"/>
    <mergeCell ref="I4:J4"/>
    <mergeCell ref="E6:F6"/>
    <mergeCell ref="G6:H6"/>
    <mergeCell ref="A5:B5"/>
    <mergeCell ref="C5:D5"/>
    <mergeCell ref="E5:F5"/>
    <mergeCell ref="G5:H5"/>
    <mergeCell ref="I5:J5"/>
    <mergeCell ref="A6:B6"/>
    <mergeCell ref="C6:D6"/>
    <mergeCell ref="I6:J6"/>
    <mergeCell ref="A8:K8"/>
    <mergeCell ref="A9:B9"/>
    <mergeCell ref="E9:F9"/>
    <mergeCell ref="G9:H9"/>
    <mergeCell ref="I9:J9"/>
    <mergeCell ref="A10:H10"/>
    <mergeCell ref="C9:D9"/>
  </mergeCells>
  <conditionalFormatting sqref="F12:F24">
    <cfRule type="cellIs" dxfId="2" priority="1" stopIfTrue="1" operator="greaterThan">
      <formula>0</formula>
    </cfRule>
  </conditionalFormatting>
  <conditionalFormatting sqref="F12:F24">
    <cfRule type="cellIs" dxfId="4" priority="2" stopIfTrue="1" operator="lessThan">
      <formula>0</formula>
    </cfRule>
  </conditionalFormatting>
  <conditionalFormatting sqref="G12:G24">
    <cfRule type="cellIs" dxfId="2" priority="3" stopIfTrue="1" operator="greaterThanOrEqual">
      <formula>1</formula>
    </cfRule>
  </conditionalFormatting>
  <printOptions/>
  <pageMargins bottom="0.75" footer="0.0" header="0.0" left="0.7" right="0.7" top="0.75"/>
  <pageSetup orientation="landscape"/>
  <drawing r:id="rId1"/>
</worksheet>
</file>